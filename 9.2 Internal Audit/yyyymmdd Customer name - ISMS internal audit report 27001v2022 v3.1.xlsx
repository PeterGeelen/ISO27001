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questforsecurity-my.sharepoint.com/personal/peter_questforsecurity_be/Documents/My Templates/ISO27001/9.2 Internal Audit Support/"/>
    </mc:Choice>
  </mc:AlternateContent>
  <xr:revisionPtr revIDLastSave="1313" documentId="8_{6FC50EC6-56A3-4BD3-81C9-71FAE1778595}" xr6:coauthVersionLast="47" xr6:coauthVersionMax="47" xr10:uidLastSave="{F9A2AAB9-0B84-4F32-9764-A90B3165C7C3}"/>
  <bookViews>
    <workbookView xWindow="-9450" yWindow="-18120" windowWidth="29040" windowHeight="17520" tabRatio="752" firstSheet="1" activeTab="4" xr2:uid="{00000000-000D-0000-FFFF-FFFF00000000}"/>
  </bookViews>
  <sheets>
    <sheet name="Front page" sheetId="2" r:id="rId1"/>
    <sheet name="User Manual" sheetId="5" r:id="rId2"/>
    <sheet name="Essential Audit Data" sheetId="7" r:id="rId3"/>
    <sheet name="Quick Overview Results" sheetId="6" r:id="rId4"/>
    <sheet name="Checklist Mgmt Clauses" sheetId="4" r:id="rId5"/>
    <sheet name="Checklist Annex Controls" sheetId="9" r:id="rId6"/>
    <sheet name="Lookup Tables" sheetId="8" state="hidden" r:id="rId7"/>
  </sheets>
  <definedNames>
    <definedName name="_xlnm._FilterDatabase" localSheetId="5" hidden="1">'Checklist Annex Controls'!$A$2:$V$192</definedName>
    <definedName name="_xlnm._FilterDatabase" localSheetId="4" hidden="1">'Checklist Mgmt Clauses'!$A$2:$U$93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0" i="9" l="1"/>
  <c r="C15" i="6" s="1"/>
  <c r="I199" i="9"/>
  <c r="C14" i="6" s="1"/>
  <c r="I198" i="9"/>
  <c r="C13" i="6" s="1"/>
  <c r="I197" i="9"/>
  <c r="C12" i="6" s="1"/>
  <c r="D197" i="9"/>
  <c r="I196" i="9"/>
  <c r="D196" i="9"/>
  <c r="H96" i="4"/>
  <c r="H97" i="4"/>
  <c r="C98" i="4"/>
  <c r="C97" i="4"/>
  <c r="I195" i="9" l="1"/>
  <c r="C10" i="6" s="1"/>
  <c r="D195" i="9"/>
  <c r="C11" i="6"/>
  <c r="H98" i="4"/>
  <c r="C4" i="6" s="1"/>
  <c r="C3" i="6"/>
  <c r="H101" i="4"/>
  <c r="C7" i="6" s="1"/>
  <c r="H100" i="4"/>
  <c r="C6" i="6" s="1"/>
  <c r="H99" i="4"/>
  <c r="C5" i="6" s="1"/>
  <c r="B20" i="7"/>
  <c r="B19" i="7"/>
  <c r="B18" i="7"/>
  <c r="B17" i="7"/>
  <c r="B12" i="7"/>
  <c r="B4" i="7"/>
  <c r="B3" i="7"/>
  <c r="A10" i="6" l="1"/>
  <c r="C2" i="6"/>
  <c r="A2" i="6" s="1"/>
  <c r="C96" i="4"/>
</calcChain>
</file>

<file path=xl/sharedStrings.xml><?xml version="1.0" encoding="utf-8"?>
<sst xmlns="http://schemas.openxmlformats.org/spreadsheetml/2006/main" count="1886" uniqueCount="725">
  <si>
    <t>Structure</t>
  </si>
  <si>
    <t>4 Context of the organization</t>
  </si>
  <si>
    <t>4.1 Understanding the organization and its context</t>
  </si>
  <si>
    <t>4.2 Understanding the needs and expectations of interested parties</t>
  </si>
  <si>
    <t>4.3 Determining the scope of the information security management system</t>
  </si>
  <si>
    <t>4.4 Information security management system</t>
  </si>
  <si>
    <t>The organization shall establish, implement, maintain and continually improve an information security management system, in accordance with the requirements of this International Standard.</t>
  </si>
  <si>
    <t>5 Leadership</t>
  </si>
  <si>
    <t>5.1 Leadership and commitment</t>
  </si>
  <si>
    <t>5.2 Policy</t>
  </si>
  <si>
    <t>5.3 Organizational roles, responsibilities and authorities</t>
  </si>
  <si>
    <t>Top management shall assign the responsibility and authority for:
a) ensuring that the information security management system conforms to the requirements of this International Standard; and
b) reporting on the performance of the information security management system to top management.</t>
  </si>
  <si>
    <t>6 Planning</t>
  </si>
  <si>
    <t>6.1 Actions to address risks and opportunities</t>
  </si>
  <si>
    <t>6.1.1 General</t>
  </si>
  <si>
    <t>The organization shall plan:
d) actions to address these risks and opportunities; and
e) how to integrate and implement these actions into its information security management system processes; and evaluate the effectiveness of these actions.</t>
  </si>
  <si>
    <t>6.1.2 Information security risk assessment</t>
  </si>
  <si>
    <t>The organization shall retain documented information about the information security risk assessment process.</t>
  </si>
  <si>
    <t>6.1.3 Information security risk treatment</t>
  </si>
  <si>
    <t>6.2 Information security objectives and planning to achieve them</t>
  </si>
  <si>
    <t>The organization shall establish information security objectives at relevant functions and levels.</t>
  </si>
  <si>
    <t>The organization shall retain documented information on the information security objectives.</t>
  </si>
  <si>
    <t>7 Support</t>
  </si>
  <si>
    <t>7.1 Resources</t>
  </si>
  <si>
    <t>The organization shall determine and provide the resources needed for the establishment, implementation, maintenance and continual improvement of the information security management system.</t>
  </si>
  <si>
    <t>7.2 Competence</t>
  </si>
  <si>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</si>
  <si>
    <t>7.3 Awareness</t>
  </si>
  <si>
    <t>7.4 Communication</t>
  </si>
  <si>
    <t>d) who shall communicate; and 
e) the processes by which communication shall be effected.</t>
  </si>
  <si>
    <t>7.5 Documented information</t>
  </si>
  <si>
    <t>7.5.1 General</t>
  </si>
  <si>
    <t>7.5.2 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</si>
  <si>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</si>
  <si>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7.5.3 Control of documented information</t>
  </si>
  <si>
    <t>Documented information required by the information security management system and by this International Standard shall be controlled to ensure:
a) it is available and suitable for use, where and when it is needed; and
b) it is adequately protected (e.g. from loss of confidentiality, improper use, or loss of integrity).</t>
  </si>
  <si>
    <t>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t>
  </si>
  <si>
    <t>Documented information of external origin, determined by the organization to be necessary for the planning and operation of the information security management system, shall be identified as appropriate, and controlled.</t>
  </si>
  <si>
    <t>8 Operation</t>
  </si>
  <si>
    <t>8.1 Operational planning and control</t>
  </si>
  <si>
    <t xml:space="preserve">The organization shall plan, implement and control the processes needed to meet information security requirements, and to implement the actions determined in 6.1. </t>
  </si>
  <si>
    <t>The organization shall also implement plans to achieve information security objectives determined in 6.2.</t>
  </si>
  <si>
    <t>The organization shall keep documented information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</si>
  <si>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</si>
  <si>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ensure that outsourced processes are determined and controlled.</t>
  </si>
  <si>
    <t>8.2 Information security risk assessment</t>
  </si>
  <si>
    <t>The organization shall perform information security risk assessments at planned intervals or when significant changes are proposed or occur, taking account of the criteria established in 6.1.2 a).</t>
  </si>
  <si>
    <t>The organization shall retain documented information of the results of the information security risk assessments.</t>
  </si>
  <si>
    <t>8.3 Information security risk treatment</t>
  </si>
  <si>
    <t>The organization shall implement the information security risk treatment plan.</t>
  </si>
  <si>
    <t>The organization shall retain documented information of the results of the information security risk treatment.</t>
  </si>
  <si>
    <t>9 Performance evaluation</t>
  </si>
  <si>
    <t>9.1 Monitoring, measurement, analysis and evaluation</t>
  </si>
  <si>
    <t>The organization shall evaluate the information security performance and the effectiveness of the information security management system.</t>
  </si>
  <si>
    <t>9.2 Internal audit</t>
  </si>
  <si>
    <t>The organization shall conduct internal audits at planned intervals to provide information on whether the information security management system:
a) conforms to1) the organization’s own requirements for its information security management system; and2) the requirements of this International Standard;
b) is effectively implemented and maintained.</t>
  </si>
  <si>
    <t>The organization shall:
c) plan, establish, implement and maintain an audit programme(s), including the frequency, methods, responsibilities, planning requirements and reporting. The audit programme(s) shall take into consideration the importance of the processes concerned and the results of previous audits;</t>
  </si>
  <si>
    <t>d) define the audit criteria and scope for each audit;
e) select auditors and conduct audits that ensure objectivity and the impartiality of the audit process;
f) ensure that the results of the audits are reported to relevant management; and
g) retain documented information as evidence of the audit programme(s) and the audit results.</t>
  </si>
  <si>
    <t>9.3 Management review</t>
  </si>
  <si>
    <t>Top management shall review the organization’s information security management system at planned intervals to ensure its continuing suitability, adequacy and effectiveness.</t>
  </si>
  <si>
    <t>The outputs of the management review shall include decisions related to continual improvement opportunities and any needs for changes to the information security management system.</t>
  </si>
  <si>
    <t>The organization shall retain documented information as evidence of the results of management reviews.</t>
  </si>
  <si>
    <t>10 Improvement</t>
  </si>
  <si>
    <t>Corrective actions shall be appropriate to the effects of the nonconformities encountered.</t>
  </si>
  <si>
    <t>The organization shall continually improve the suitability, adequacy and effectiveness of the information security management system.</t>
  </si>
  <si>
    <t>Outsourced</t>
  </si>
  <si>
    <t>X</t>
  </si>
  <si>
    <t>HR</t>
  </si>
  <si>
    <t>IT</t>
  </si>
  <si>
    <t>Internal Audit report</t>
  </si>
  <si>
    <t>Auditor:</t>
  </si>
  <si>
    <t>Date:</t>
  </si>
  <si>
    <t>Company:</t>
  </si>
  <si>
    <t>Management</t>
  </si>
  <si>
    <t>CISO</t>
  </si>
  <si>
    <t>Community</t>
  </si>
  <si>
    <t>Reference documents
(add links where possible)</t>
  </si>
  <si>
    <t>OK</t>
  </si>
  <si>
    <t>OFI</t>
  </si>
  <si>
    <t>(if different, add links to additional docs &amp; reports) Other, incl interviewed people, metadata, system records, …
Hint: add evidence, time and data of check</t>
  </si>
  <si>
    <t>TO DO 
(add documents with links below)
like: policies, procedure, process documentation,..
Hint: add version nr</t>
  </si>
  <si>
    <t>NC+</t>
  </si>
  <si>
    <t>nc-</t>
  </si>
  <si>
    <t>Type</t>
  </si>
  <si>
    <t>Count</t>
  </si>
  <si>
    <t>Relevant Process 
(add columns for other departments)</t>
  </si>
  <si>
    <t>No</t>
  </si>
  <si>
    <t xml:space="preserve">You can choose to use </t>
  </si>
  <si>
    <t>The tab "checklist full" with all clauses and controls</t>
  </si>
  <si>
    <t>Or</t>
  </si>
  <si>
    <t>The separate tabs checklist claused and checklist annex</t>
  </si>
  <si>
    <t>Both collection have the same clauses and controls</t>
  </si>
  <si>
    <t>The separate tabs, split the clauses and the annexes</t>
  </si>
  <si>
    <t>Column</t>
  </si>
  <si>
    <t>Reference documents</t>
  </si>
  <si>
    <t>Explanation</t>
  </si>
  <si>
    <t>Put a link to the document names</t>
  </si>
  <si>
    <t>Hint: also add version nr and review date</t>
  </si>
  <si>
    <t>Audit evidence</t>
  </si>
  <si>
    <t xml:space="preserve">Additional evidence, except </t>
  </si>
  <si>
    <t xml:space="preserve">TO DO: </t>
  </si>
  <si>
    <t>add documents with links in the column next to the clause or annex
like: policies, procedure, process documentation,..
Hint: add version nr</t>
  </si>
  <si>
    <t>Audit remarks</t>
  </si>
  <si>
    <t>Additional comments to add if useful, eg explaining NC/nc/OFI</t>
  </si>
  <si>
    <t>Audit qualification
(OK, OFI, nc-, NC+)</t>
  </si>
  <si>
    <t>Audit qualification</t>
  </si>
  <si>
    <t xml:space="preserve">OK </t>
  </si>
  <si>
    <t>OFI (= opportunitfy for improvement)</t>
  </si>
  <si>
    <t>NC+ (= major non-conformity)</t>
  </si>
  <si>
    <t>nc- (= minor non-conformity)</t>
  </si>
  <si>
    <t>Relevant processes</t>
  </si>
  <si>
    <t>You can use or rename the existing fields or add columns for additional departments you audit</t>
  </si>
  <si>
    <t>Outsources</t>
  </si>
  <si>
    <t>You can enter (fixed choice of 5 options)</t>
  </si>
  <si>
    <t>(empty)</t>
  </si>
  <si>
    <t>The sheet will automatically color the field as indicated</t>
  </si>
  <si>
    <t>Fixed choice of Yes/No, to indicate a process is outsourced to a 3rd party</t>
  </si>
  <si>
    <t>At the end of the table</t>
  </si>
  <si>
    <t>Evaluation count</t>
  </si>
  <si>
    <t>Checklist Clauses</t>
  </si>
  <si>
    <t>Checklist Annex</t>
  </si>
  <si>
    <t>IMPORTANT REMARK</t>
  </si>
  <si>
    <t xml:space="preserve">Both sets ("full" vs the other 2) are NOT connected, you choose which set to complete </t>
  </si>
  <si>
    <t>Current audit cycle:</t>
  </si>
  <si>
    <t>Pre-audit</t>
  </si>
  <si>
    <t>Owner/Responsible team</t>
  </si>
  <si>
    <t>The organization shall determine the need for internal and external communications relevant to the information security management system including:
a) on what to communicate;
b) when to communicate; 
c) with whom to communicate;</t>
  </si>
  <si>
    <t>Operational platform used to manage the control</t>
  </si>
  <si>
    <t>Topic</t>
  </si>
  <si>
    <t>Value</t>
  </si>
  <si>
    <t>Extra Info</t>
  </si>
  <si>
    <t>Previous Internal audit</t>
  </si>
  <si>
    <t>Previous External audit</t>
  </si>
  <si>
    <t>Current Stage of audit</t>
  </si>
  <si>
    <t>Audit types</t>
  </si>
  <si>
    <t>Certification audit (Year 0)</t>
  </si>
  <si>
    <t>Surveillance Audit (Year 1)</t>
  </si>
  <si>
    <t>Surveillance Audit (Year 2)</t>
  </si>
  <si>
    <t>Recertification Audit (Year 3)</t>
  </si>
  <si>
    <t>yyyy-mm-dd</t>
  </si>
  <si>
    <t>SoA date</t>
  </si>
  <si>
    <t>SoA Document name</t>
  </si>
  <si>
    <t>SoA Version</t>
  </si>
  <si>
    <t>V.0</t>
  </si>
  <si>
    <t>Add name and link to doc</t>
  </si>
  <si>
    <t>Last Management Review</t>
  </si>
  <si>
    <t>Boolean</t>
  </si>
  <si>
    <t>Yes</t>
  </si>
  <si>
    <t>Pre-audit (preparation for certification)</t>
  </si>
  <si>
    <t>Last evaluation of ISMS objectives</t>
  </si>
  <si>
    <t>Last revision of documentation</t>
  </si>
  <si>
    <t>Last revision of risk assessments</t>
  </si>
  <si>
    <t>Did you check previous audit reports for…</t>
  </si>
  <si>
    <t>Number of previous OFI/nc-/NC+?</t>
  </si>
  <si>
    <t>Status of previous OFI/nc-/NC+?</t>
  </si>
  <si>
    <t>&lt;SoA document name&gt;</t>
  </si>
  <si>
    <t>Enter remarks</t>
  </si>
  <si>
    <t>Fill in 
(where to find evidence)</t>
  </si>
  <si>
    <t>Fill In 
(who to interview)</t>
  </si>
  <si>
    <t>Add aditional audit references
(if different, add links to additional docs &amp; reports) Other, incl interviewed people, metadata, system records, …
Hint: add evidence, time and data of check</t>
  </si>
  <si>
    <t>TBC</t>
  </si>
  <si>
    <t>Enter qualification with these codes
OFI = opportunity for improvement
NC+ = major nonconformity
nc- = minor nc
OK = all OK
TBC = To be Checked</t>
  </si>
  <si>
    <t>TBC (to be checked)</t>
  </si>
  <si>
    <t>Essential ISMS data</t>
  </si>
  <si>
    <t>ISMS Review Cycle</t>
  </si>
  <si>
    <t>Legal</t>
  </si>
  <si>
    <t>Physical Security</t>
  </si>
  <si>
    <t>4 §0</t>
  </si>
  <si>
    <t>4.1 §0</t>
  </si>
  <si>
    <t>4.1 §1</t>
  </si>
  <si>
    <t>4.2 §0</t>
  </si>
  <si>
    <t>4.2 §1</t>
  </si>
  <si>
    <t>4.3 §0</t>
  </si>
  <si>
    <t>4.3 §1</t>
  </si>
  <si>
    <t>4.3 §2</t>
  </si>
  <si>
    <t>4.3 §3</t>
  </si>
  <si>
    <t>4.4 §0</t>
  </si>
  <si>
    <t>4.4 §1</t>
  </si>
  <si>
    <t>5 §0</t>
  </si>
  <si>
    <t>5.1 §0</t>
  </si>
  <si>
    <t>5.1 §1</t>
  </si>
  <si>
    <t>5.2 §0</t>
  </si>
  <si>
    <t>5.2 §1</t>
  </si>
  <si>
    <t>5.2 §2</t>
  </si>
  <si>
    <t>5.3 §0</t>
  </si>
  <si>
    <t>5.3 §1</t>
  </si>
  <si>
    <t>5.3 §2</t>
  </si>
  <si>
    <t>6 §0</t>
  </si>
  <si>
    <t>6.1 §0</t>
  </si>
  <si>
    <t>6.1.1§2</t>
  </si>
  <si>
    <t>6.1.1§1</t>
  </si>
  <si>
    <t>6.1.2§0</t>
  </si>
  <si>
    <t>6.1.2§1</t>
  </si>
  <si>
    <t>6.1.2§2</t>
  </si>
  <si>
    <t>6.1.3§0</t>
  </si>
  <si>
    <t>6.1.3§1</t>
  </si>
  <si>
    <t>6.1.3§2</t>
  </si>
  <si>
    <t>6.2§0</t>
  </si>
  <si>
    <t>6.2§1</t>
  </si>
  <si>
    <t>6.2§2</t>
  </si>
  <si>
    <t>6.2§3</t>
  </si>
  <si>
    <t>7 §0</t>
  </si>
  <si>
    <t>7.1 §0</t>
  </si>
  <si>
    <t>7.1 §1</t>
  </si>
  <si>
    <t>7.2 §0</t>
  </si>
  <si>
    <t>7.2 §1</t>
  </si>
  <si>
    <t>7.3 §0</t>
  </si>
  <si>
    <t>7.3 §1</t>
  </si>
  <si>
    <t>7.4 §0</t>
  </si>
  <si>
    <t>7.4 §1</t>
  </si>
  <si>
    <t>7.4 §2</t>
  </si>
  <si>
    <t>7.5 §0</t>
  </si>
  <si>
    <t>7.5.1§0</t>
  </si>
  <si>
    <t>7.5.1§1</t>
  </si>
  <si>
    <t>7.5.2§0</t>
  </si>
  <si>
    <t>7.5.2§1</t>
  </si>
  <si>
    <t>7.5.3§0</t>
  </si>
  <si>
    <t>7.5.3§1</t>
  </si>
  <si>
    <t>7.5.3§2</t>
  </si>
  <si>
    <t>7.5.3§3</t>
  </si>
  <si>
    <t>8 §0</t>
  </si>
  <si>
    <t>8.1 §0</t>
  </si>
  <si>
    <t>8.1 §1</t>
  </si>
  <si>
    <t>8.1 §2</t>
  </si>
  <si>
    <t>8.1 §3</t>
  </si>
  <si>
    <t>8.1 §4</t>
  </si>
  <si>
    <t>8.1 §5</t>
  </si>
  <si>
    <t>8.2 §0</t>
  </si>
  <si>
    <t>8.2 §1</t>
  </si>
  <si>
    <t>8.2 §2</t>
  </si>
  <si>
    <t>8.3 §0</t>
  </si>
  <si>
    <t>8.3 §1</t>
  </si>
  <si>
    <t>8.3 §2</t>
  </si>
  <si>
    <t>9 §0</t>
  </si>
  <si>
    <t>9.1 §0</t>
  </si>
  <si>
    <t>9.1 §1</t>
  </si>
  <si>
    <t>9.1 §2</t>
  </si>
  <si>
    <t>9.1 §3</t>
  </si>
  <si>
    <t>9.2 §0</t>
  </si>
  <si>
    <t>9.2 §1</t>
  </si>
  <si>
    <t>9.2 §2</t>
  </si>
  <si>
    <t>9.2 §3</t>
  </si>
  <si>
    <t>9.3 §0</t>
  </si>
  <si>
    <t>9.3 §1</t>
  </si>
  <si>
    <t>9.3 §2</t>
  </si>
  <si>
    <t>9.3 §3</t>
  </si>
  <si>
    <t>9.3 §4</t>
  </si>
  <si>
    <t>10§0</t>
  </si>
  <si>
    <t>10.1§0</t>
  </si>
  <si>
    <t>10.2§0</t>
  </si>
  <si>
    <t>10.2§1</t>
  </si>
  <si>
    <r>
      <t xml:space="preserve">The organization shall determine </t>
    </r>
    <r>
      <rPr>
        <b/>
        <i/>
        <sz val="10"/>
        <rFont val="Arial"/>
        <family val="2"/>
      </rPr>
      <t xml:space="preserve">external and internal issues </t>
    </r>
    <r>
      <rPr>
        <i/>
        <sz val="10"/>
        <rFont val="Arial"/>
        <family val="2"/>
      </rPr>
      <t>that are relevant to its purpose and that affect its ability to achieve the intended outcome(s) of its information security management system.</t>
    </r>
  </si>
  <si>
    <r>
      <t xml:space="preserve">The organization shall determine:
</t>
    </r>
    <r>
      <rPr>
        <b/>
        <i/>
        <sz val="10"/>
        <rFont val="Arial"/>
        <family val="2"/>
      </rPr>
      <t xml:space="preserve">a) interested parties </t>
    </r>
    <r>
      <rPr>
        <i/>
        <sz val="10"/>
        <rFont val="Arial"/>
        <family val="2"/>
      </rPr>
      <t xml:space="preserve">that are relevant to the information security management system; and
b) the </t>
    </r>
    <r>
      <rPr>
        <b/>
        <i/>
        <sz val="10"/>
        <rFont val="Arial"/>
        <family val="2"/>
      </rPr>
      <t xml:space="preserve">requirements of these interested parties </t>
    </r>
    <r>
      <rPr>
        <i/>
        <sz val="10"/>
        <rFont val="Arial"/>
        <family val="2"/>
      </rPr>
      <t>relevant to information security.</t>
    </r>
  </si>
  <si>
    <r>
      <t xml:space="preserve">The organization shall determine the </t>
    </r>
    <r>
      <rPr>
        <b/>
        <i/>
        <sz val="10"/>
        <rFont val="Arial"/>
        <family val="2"/>
      </rPr>
      <t xml:space="preserve">boundaries and applicability of the information security management system </t>
    </r>
    <r>
      <rPr>
        <i/>
        <sz val="10"/>
        <rFont val="Arial"/>
        <family val="2"/>
      </rPr>
      <t>to establish its scope.</t>
    </r>
  </si>
  <si>
    <r>
      <t xml:space="preserve">When determining this scope, the organization shall consider:
a) the external and internal issues referred to in 4.1;
b) the requirements referred to in 4.2; and
</t>
    </r>
    <r>
      <rPr>
        <b/>
        <i/>
        <sz val="10"/>
        <rFont val="Arial"/>
        <family val="2"/>
      </rPr>
      <t>c) interfaces and dependencies between activities performed by the organization, and those that are performed by other organizations.</t>
    </r>
  </si>
  <si>
    <r>
      <rPr>
        <b/>
        <i/>
        <sz val="10"/>
        <rFont val="Arial"/>
        <family val="2"/>
      </rPr>
      <t>The scope shall be available as documented information</t>
    </r>
    <r>
      <rPr>
        <i/>
        <sz val="10"/>
        <rFont val="Arial"/>
        <family val="2"/>
      </rPr>
      <t>.</t>
    </r>
  </si>
  <si>
    <r>
      <t xml:space="preserve">Top management shall demonstrate leadership and commitment with respect to the information security management system by:
a) ensuring the information security policy and the information security objectives are established and are compatible with the </t>
    </r>
    <r>
      <rPr>
        <b/>
        <i/>
        <sz val="10"/>
        <rFont val="Arial"/>
        <family val="2"/>
      </rPr>
      <t>strategic direction</t>
    </r>
    <r>
      <rPr>
        <i/>
        <sz val="10"/>
        <rFont val="Arial"/>
        <family val="2"/>
      </rPr>
      <t xml:space="preserve"> of the organization;
</t>
    </r>
    <r>
      <rPr>
        <b/>
        <i/>
        <sz val="10"/>
        <rFont val="Arial"/>
        <family val="2"/>
      </rPr>
      <t>b) ensuring the integration of the information security management system requirements into the organization's processes</t>
    </r>
    <r>
      <rPr>
        <i/>
        <sz val="10"/>
        <rFont val="Arial"/>
        <family val="2"/>
      </rPr>
      <t>;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supporting other relevant management roles to demonstrate their leadership as it applies to their areas of responsibility.</t>
    </r>
  </si>
  <si>
    <r>
      <t>The information security policy shall:
e) be available as documented information;
f) be communicated within the organization; and
g) be</t>
    </r>
    <r>
      <rPr>
        <b/>
        <i/>
        <sz val="10"/>
        <rFont val="Arial"/>
        <family val="2"/>
      </rPr>
      <t xml:space="preserve"> available to interested parties, as appropriate</t>
    </r>
    <r>
      <rPr>
        <i/>
        <sz val="10"/>
        <rFont val="Arial"/>
        <family val="2"/>
      </rPr>
      <t>.</t>
    </r>
  </si>
  <si>
    <r>
      <t xml:space="preserve">When planning for the information security management system, the organization shall consider the issues referred to in 4.1 and the requirements referred to in 4.2 and determine the risks and opportunities that need to be addressed to:
</t>
    </r>
    <r>
      <rPr>
        <b/>
        <i/>
        <sz val="10"/>
        <rFont val="Arial"/>
        <family val="2"/>
      </rPr>
      <t>a) ensure the information security management system can achieve its intended outcome(s); 
b) prevent, or reduce, undesired effects; and 
c) achieve continual improvement.</t>
    </r>
  </si>
  <si>
    <r>
      <t xml:space="preserve">The organization shall define and apply an information security risk assessment process that:
</t>
    </r>
    <r>
      <rPr>
        <b/>
        <i/>
        <sz val="10"/>
        <rFont val="Arial"/>
        <family val="2"/>
      </rPr>
      <t>a) establishes and maintains information security risk criteria that include:</t>
    </r>
    <r>
      <rPr>
        <i/>
        <sz val="10"/>
        <rFont val="Arial"/>
        <family val="2"/>
      </rPr>
      <t>1) the risk acceptance criteria;</t>
    </r>
    <r>
      <rPr>
        <b/>
        <i/>
        <sz val="10"/>
        <rFont val="Arial"/>
        <family val="2"/>
      </rPr>
      <t xml:space="preserve"> and 2) criteria for performing information security risk assessments;
</t>
    </r>
    <r>
      <rPr>
        <i/>
        <sz val="10"/>
        <rFont val="Arial"/>
        <family val="2"/>
      </rPr>
      <t>b) ensures that repeated information security risk assessments produce consistent, valid and comparable results;
c) identifies the information security risks:1) apply the information security risk assessment process to identify risks associated with the loss of confidentiality, integrity and availability for information within the scope of the information security management system; and2) identify the risk owners;
d) analyses the information security risks:1) assess the potential consequences that would result if the risks identified in 6.1.2 c) 1) were to materialize;2) assess the realistic likelihood of the occurrence of the risks identified in 6.1.2 c) 1); and3) determine the levels of risk;
e) evaluates the information security risks:1) compare the results of risk analysis with the risk criteria established in 6.1.2 a); and2) prioritize the analysed risks for risk treatment.</t>
    </r>
  </si>
  <si>
    <r>
      <t>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t>
    </r>
    <r>
      <rPr>
        <b/>
        <i/>
        <sz val="10"/>
        <rFont val="Arial"/>
        <family val="2"/>
      </rPr>
      <t xml:space="preserve"> compare the controls determined in 6.1.3</t>
    </r>
    <r>
      <rPr>
        <i/>
        <sz val="10"/>
        <rFont val="Arial"/>
        <family val="2"/>
      </rPr>
      <t xml:space="preserve"> b) above with those in Annex A and verify that no necessary controls have been omitted;
d) </t>
    </r>
    <r>
      <rPr>
        <b/>
        <i/>
        <sz val="10"/>
        <rFont val="Arial"/>
        <family val="2"/>
      </rPr>
      <t xml:space="preserve">produce a Statement of Applicability </t>
    </r>
    <r>
      <rPr>
        <i/>
        <sz val="10"/>
        <rFont val="Arial"/>
        <family val="2"/>
      </rPr>
      <t xml:space="preserve">that contains the necessary controls (see 6.1.3 b) and c)) and justification for inclusions, whether they are implemented or not, and the justification for exclusions of controls from Annex A;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t>
    </r>
  </si>
  <si>
    <r>
      <rPr>
        <b/>
        <i/>
        <sz val="10"/>
        <rFont val="Arial"/>
        <family val="2"/>
      </rPr>
      <t>Statement of apllicability:</t>
    </r>
    <r>
      <rPr>
        <i/>
        <sz val="10"/>
        <rFont val="Arial"/>
        <family val="2"/>
      </rPr>
      <t xml:space="preserve">
The organization shall retain documented information about the information security risk treatment process.
The risk assessment covers the scope of the management system.
The client granted the access to all necessary organizational documented information.
</t>
    </r>
  </si>
  <si>
    <r>
      <t xml:space="preserve">The information security objectives shall:
a) be consistent with the information security policy;
</t>
    </r>
    <r>
      <rPr>
        <b/>
        <i/>
        <sz val="10"/>
        <rFont val="Arial"/>
        <family val="2"/>
      </rPr>
      <t>b) be measurable (if practicable);
c) take into account applicable information security requirements, and risk assessment and risk</t>
    </r>
    <r>
      <rPr>
        <i/>
        <sz val="10"/>
        <rFont val="Arial"/>
        <family val="2"/>
      </rPr>
      <t xml:space="preserve">
treatment results;
d) be communicated; and
e) be updated as appropriate.</t>
    </r>
  </si>
  <si>
    <r>
      <t xml:space="preserve">When planning how to achieve its information security objectives, the organization shall determine:
</t>
    </r>
    <r>
      <rPr>
        <b/>
        <i/>
        <sz val="10"/>
        <rFont val="Arial"/>
        <family val="2"/>
      </rPr>
      <t>f) what will be done;
g) what resources will be required;
h) who will be responsible</t>
    </r>
    <r>
      <rPr>
        <i/>
        <sz val="10"/>
        <rFont val="Arial"/>
        <family val="2"/>
      </rPr>
      <t xml:space="preserve">;
</t>
    </r>
    <r>
      <rPr>
        <b/>
        <i/>
        <sz val="10"/>
        <rFont val="Arial"/>
        <family val="2"/>
      </rPr>
      <t>i) when it will be completed</t>
    </r>
    <r>
      <rPr>
        <i/>
        <sz val="10"/>
        <rFont val="Arial"/>
        <family val="2"/>
      </rPr>
      <t xml:space="preserve">; </t>
    </r>
    <r>
      <rPr>
        <b/>
        <i/>
        <sz val="10"/>
        <rFont val="Arial"/>
        <family val="2"/>
      </rPr>
      <t xml:space="preserve">and
</t>
    </r>
    <r>
      <rPr>
        <i/>
        <sz val="10"/>
        <rFont val="Arial"/>
        <family val="2"/>
      </rPr>
      <t>j) how the results will be evaluated.</t>
    </r>
  </si>
  <si>
    <r>
      <t xml:space="preserve">Persons doing work under the organization’s control shall be aware of:
a) the information security policy;
</t>
    </r>
    <r>
      <rPr>
        <b/>
        <i/>
        <sz val="10"/>
        <rFont val="Arial"/>
        <family val="2"/>
      </rPr>
      <t>b) their contribution to the effectiveness of the information security management system, including the benefits of improved information security performance; and
c) the implications of not conforming with the information security management system requirements.</t>
    </r>
  </si>
  <si>
    <r>
      <t xml:space="preserve">The organization’s information security management system shall include:
a) documented information required by this International Standard; and 
</t>
    </r>
    <r>
      <rPr>
        <b/>
        <i/>
        <sz val="10"/>
        <rFont val="Arial"/>
        <family val="2"/>
      </rPr>
      <t>b) documented information determined by the organization as being necessary for the effectiveness of the information security management system.</t>
    </r>
  </si>
  <si>
    <r>
      <t xml:space="preserve">The organization shall determine:
</t>
    </r>
    <r>
      <rPr>
        <i/>
        <sz val="10"/>
        <rFont val="Arial"/>
        <family val="2"/>
      </rPr>
      <t>a) what needs to be monitored and measured, including information security processes and controls;
b) the methods for monitoring, measurement, analysis and evaluation, as applicable, to ensure valid results;</t>
    </r>
    <r>
      <rPr>
        <b/>
        <i/>
        <sz val="10"/>
        <rFont val="Arial"/>
        <family val="2"/>
      </rPr>
      <t xml:space="preserve">
c) when the monitoring and measuring shall be performed;
d) who shall monitor and measure;
</t>
    </r>
    <r>
      <rPr>
        <i/>
        <sz val="10"/>
        <rFont val="Arial"/>
        <family val="2"/>
      </rPr>
      <t>e) when the results from monitoring and measurement shall be analysed and evaluated; and</t>
    </r>
    <r>
      <rPr>
        <b/>
        <i/>
        <sz val="10"/>
        <rFont val="Arial"/>
        <family val="2"/>
      </rPr>
      <t xml:space="preserve">
f) who shall analyse and evaluate these results.
</t>
    </r>
  </si>
  <si>
    <r>
      <t xml:space="preserve">The organization shall retain </t>
    </r>
    <r>
      <rPr>
        <b/>
        <i/>
        <sz val="10"/>
        <rFont val="Arial"/>
        <family val="2"/>
      </rPr>
      <t>appropriate documented information as evidence</t>
    </r>
    <r>
      <rPr>
        <i/>
        <sz val="10"/>
        <rFont val="Arial"/>
        <family val="2"/>
      </rPr>
      <t xml:space="preserve"> of the monitoring and measurement results.</t>
    </r>
  </si>
  <si>
    <r>
      <t xml:space="preserve">The management review shall include consideration of:
a) the status of actions from previous management reviews;
b) changes in external and internal issues that are relevant to the information security management system;
c) feedback on the information security performance, </t>
    </r>
    <r>
      <rPr>
        <b/>
        <i/>
        <sz val="10"/>
        <rFont val="Arial"/>
        <family val="2"/>
      </rPr>
      <t>including trends</t>
    </r>
    <r>
      <rPr>
        <i/>
        <sz val="10"/>
        <rFont val="Arial"/>
        <family val="2"/>
      </rPr>
      <t xml:space="preserve"> in:1) nonconformities and corrective actions;2) monitoring and measurement results;3) audit results; and4)</t>
    </r>
    <r>
      <rPr>
        <b/>
        <i/>
        <sz val="10"/>
        <rFont val="Arial"/>
        <family val="2"/>
      </rPr>
      <t xml:space="preserve"> fulfilment of information security objectives</t>
    </r>
    <r>
      <rPr>
        <i/>
        <sz val="10"/>
        <rFont val="Arial"/>
        <family val="2"/>
      </rPr>
      <t>;
d) feedback from interested parties;
e) results of risk assessment and status of risk treatment plan; and
f) opportunities for continual improvement.</t>
    </r>
  </si>
  <si>
    <r>
      <t xml:space="preserve">When a nonconformity occurs, the organization shall:
</t>
    </r>
    <r>
      <rPr>
        <b/>
        <i/>
        <sz val="10"/>
        <rFont val="Arial"/>
        <family val="2"/>
      </rPr>
      <t xml:space="preserve">a) react to the nonconformity, and as applicable:1) take action to control and correct it; and 2) deal with the consequences;
</t>
    </r>
    <r>
      <rPr>
        <i/>
        <sz val="10"/>
        <rFont val="Arial"/>
        <family val="2"/>
      </rPr>
      <t xml:space="preserve">b) evaluate the need for action to eliminate the causes of nonconformity, in order that it does not recur or occur elsewhere, by:1) reviewing the nonconformity;2) determining the causes of the nonconformity; and 3) determining if similar nonconformities exist, or could potentially occur;
c) implement any action needed;
d) review the effectiveness of any corrective action taken; and 
</t>
    </r>
    <r>
      <rPr>
        <b/>
        <i/>
        <sz val="10"/>
        <rFont val="Arial"/>
        <family val="2"/>
      </rPr>
      <t>e) make changes to the information security management system, if necessary.</t>
    </r>
  </si>
  <si>
    <r>
      <t>The organization shall</t>
    </r>
    <r>
      <rPr>
        <b/>
        <i/>
        <sz val="10"/>
        <rFont val="Arial"/>
        <family val="2"/>
      </rPr>
      <t xml:space="preserve"> retain documented information as evidence</t>
    </r>
    <r>
      <rPr>
        <i/>
        <sz val="10"/>
        <rFont val="Arial"/>
        <family val="2"/>
      </rPr>
      <t xml:space="preserve"> of:
</t>
    </r>
    <r>
      <rPr>
        <b/>
        <i/>
        <sz val="10"/>
        <rFont val="Arial"/>
        <family val="2"/>
      </rPr>
      <t>f) the nature of the nonconformities and any subsequent actions taken, and
g) the results of any corrective action.</t>
    </r>
  </si>
  <si>
    <t>Reference documents
(add links where possible)
Policy/Procedure/Manual</t>
  </si>
  <si>
    <r>
      <t xml:space="preserve">Top management shall establish an </t>
    </r>
    <r>
      <rPr>
        <b/>
        <i/>
        <sz val="10"/>
        <rFont val="Arial"/>
        <family val="2"/>
      </rPr>
      <t xml:space="preserve">information security policy </t>
    </r>
    <r>
      <rPr>
        <i/>
        <sz val="10"/>
        <rFont val="Arial"/>
        <family val="2"/>
      </rPr>
      <t>that:
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t>
    </r>
  </si>
  <si>
    <r>
      <t xml:space="preserve">Top management shall ensure that the </t>
    </r>
    <r>
      <rPr>
        <b/>
        <i/>
        <sz val="10"/>
        <rFont val="Arial"/>
        <family val="2"/>
      </rPr>
      <t>responsibilities and authorities for roles</t>
    </r>
    <r>
      <rPr>
        <i/>
        <sz val="10"/>
        <rFont val="Arial"/>
        <family val="2"/>
      </rPr>
      <t xml:space="preserve"> relevant to information security are assigned and communicated.</t>
    </r>
  </si>
  <si>
    <t>For example, company mission, vision &amp; value statement on website</t>
  </si>
  <si>
    <t>Risk regsiter</t>
  </si>
  <si>
    <t>Risk register, DPIA, …</t>
  </si>
  <si>
    <t>Included/Excluded</t>
  </si>
  <si>
    <t>Included</t>
  </si>
  <si>
    <t>Owner/Responsible Person</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</si>
  <si>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</si>
  <si>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</si>
  <si>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</si>
  <si>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</si>
  <si>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</si>
  <si>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</si>
  <si>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</si>
  <si>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</si>
  <si>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</si>
  <si>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</si>
  <si>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</si>
  <si>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</si>
  <si>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</si>
  <si>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</si>
  <si>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physical and logical access to information and other associated assets shall be established and implemented based on business and information security requirements.</t>
  </si>
  <si>
    <t>The full life cycle of identities shall be managed.</t>
  </si>
  <si>
    <t>Allocation and management of authentication information shall be 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</si>
  <si>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</si>
  <si>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</si>
  <si>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</si>
  <si>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</si>
  <si>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evaluate and manage change in supplier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</si>
  <si>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</si>
  <si>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</si>
  <si>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</si>
  <si>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</si>
  <si>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</si>
  <si>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</si>
  <si>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</si>
  <si>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</si>
  <si>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</si>
  <si>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</si>
  <si>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unauthorized access and unauthorized release.</t>
  </si>
  <si>
    <t>The organization shall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</si>
  <si>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</si>
  <si>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</si>
  <si>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</si>
  <si>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</si>
  <si>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</si>
  <si>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</si>
  <si>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</si>
  <si>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</si>
  <si>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</si>
  <si>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</si>
  <si>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</si>
  <si>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</si>
  <si>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</si>
  <si>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</si>
  <si>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</si>
  <si>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</si>
  <si>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</si>
  <si>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</si>
  <si>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</si>
  <si>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</si>
  <si>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</si>
  <si>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</si>
  <si>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</si>
  <si>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</si>
  <si>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</si>
  <si>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</si>
  <si>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</si>
  <si>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t>
  </si>
  <si>
    <t>Read and write access to source code, development tools and software libraries shall be appropriately managed.</t>
  </si>
  <si>
    <t>Secure authentication technologies and procedures shall be implemented based on information access restrictions and the topic-specific policy on access .</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</si>
  <si>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</si>
  <si>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</si>
  <si>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</si>
  <si>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</si>
  <si>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</si>
  <si>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</si>
  <si>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</si>
  <si>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</si>
  <si>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</si>
  <si>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analysed.</t>
  </si>
  <si>
    <t>Networks, systems and applications shall be monitored for anomalous behaviour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</si>
  <si>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</si>
  <si>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s shall be restricted and tightly led.</t>
  </si>
  <si>
    <t>Procedures and measures shall be implemented to securely manage software installation on operational systems.</t>
  </si>
  <si>
    <t>Networks and network devices shall be secured, managed and 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</si>
  <si>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</si>
  <si>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</si>
  <si>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</si>
  <si>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</si>
  <si>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</si>
  <si>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</si>
  <si>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</si>
  <si>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</si>
  <si>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</si>
  <si>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The organization shall direct, monitor and review the activities related to outsourced system development.</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</si>
  <si>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</si>
  <si>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</si>
  <si>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</si>
  <si>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</si>
  <si>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A.5  Organisational controls</t>
  </si>
  <si>
    <t>Operational capability</t>
  </si>
  <si>
    <t>A.5.1 Policies for information security</t>
  </si>
  <si>
    <t>A.5.2 Information security roles and responsibilities</t>
  </si>
  <si>
    <t xml:space="preserve">A.5.3 Segregation of duties </t>
  </si>
  <si>
    <t xml:space="preserve">A.5.4 Management responsibilities </t>
  </si>
  <si>
    <t xml:space="preserve">A.5.5 Contact with authorities </t>
  </si>
  <si>
    <t>A.5.6 Contact with special interest groups</t>
  </si>
  <si>
    <t xml:space="preserve">A.5.7 Threat intelligence </t>
  </si>
  <si>
    <t>A.5.8 Information security in project management</t>
  </si>
  <si>
    <t>A.5.9 Inventory of information and other associated assets</t>
  </si>
  <si>
    <t xml:space="preserve">A.5.11 Return of assets </t>
  </si>
  <si>
    <t xml:space="preserve">A.5.12 Classification of information </t>
  </si>
  <si>
    <t xml:space="preserve">A.5.13 Labelling of information </t>
  </si>
  <si>
    <t xml:space="preserve">A.5.14 Information transfer </t>
  </si>
  <si>
    <t xml:space="preserve">A.5.15 Access control </t>
  </si>
  <si>
    <t xml:space="preserve">A.5.16 Identity management </t>
  </si>
  <si>
    <t xml:space="preserve">A.5.17 Authentication information </t>
  </si>
  <si>
    <t xml:space="preserve">A.5.18 Access rights </t>
  </si>
  <si>
    <t>A.5.19 Information security in supplier relationships</t>
  </si>
  <si>
    <t>A.5.21 Managing information security in the information and communication technology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</si>
  <si>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</si>
  <si>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</si>
  <si>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</si>
  <si>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</si>
  <si>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</si>
  <si>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</si>
  <si>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 xml:space="preserve">A.5.28 Collection of evidence </t>
  </si>
  <si>
    <t>A.5.29 Information security during disruption</t>
  </si>
  <si>
    <t>A.5.31 Legal, statutory, regulatory and contractual requirements</t>
  </si>
  <si>
    <t xml:space="preserve">A.5.32 Intellectual property rights </t>
  </si>
  <si>
    <t xml:space="preserve">A.5.33 Protection of records </t>
  </si>
  <si>
    <t>A.5.34 Privacy and protection of personal identifiable information (PII)</t>
  </si>
  <si>
    <t>A.5.35 Independent review of information security</t>
  </si>
  <si>
    <t>A.5.36 Compliance with policies, rules and standards for information security</t>
  </si>
  <si>
    <t>A.5.37 Documented operating procedures</t>
  </si>
  <si>
    <t xml:space="preserve">A.6.1 Screening </t>
  </si>
  <si>
    <t>A.6.2 Terms and conditions of employment</t>
  </si>
  <si>
    <t>A.6.3 Information security awareness, education and training</t>
  </si>
  <si>
    <t xml:space="preserve">A.6.4 Disciplinary process </t>
  </si>
  <si>
    <t>A.6.5 Responsibilities after termination or change of employment</t>
  </si>
  <si>
    <t>A.6.6 Confidentiality or non-disclosure agreements</t>
  </si>
  <si>
    <t xml:space="preserve">A.6.7 Remote working </t>
  </si>
  <si>
    <t>A.6.8 Information security event reporting</t>
  </si>
  <si>
    <t xml:space="preserve">A.7.1 Physical security perimeters </t>
  </si>
  <si>
    <t xml:space="preserve">A.7.2 Physical entry </t>
  </si>
  <si>
    <t>A.7.3 Securing offices, rooms and facilities</t>
  </si>
  <si>
    <t xml:space="preserve">A.7.4 Physical security monitoring </t>
  </si>
  <si>
    <t>A.7.5 Protecting against physical and environmental threats</t>
  </si>
  <si>
    <t xml:space="preserve">A.7.6 Working in secure areas </t>
  </si>
  <si>
    <t xml:space="preserve">A.7.7 Clear desk and clear screen </t>
  </si>
  <si>
    <t xml:space="preserve">A.7.8 Equipment siting and protection </t>
  </si>
  <si>
    <t xml:space="preserve">A.7.9 Security of assets off-premises </t>
  </si>
  <si>
    <t xml:space="preserve">A.7.11 Supporting utilities </t>
  </si>
  <si>
    <t xml:space="preserve">A.7.12 Cabling security </t>
  </si>
  <si>
    <t xml:space="preserve">A.7.13 Equipment maintenance </t>
  </si>
  <si>
    <t>A.7.14 Secure disposal or re-use of equipment</t>
  </si>
  <si>
    <t xml:space="preserve">A.8.1 User end point devices </t>
  </si>
  <si>
    <t xml:space="preserve">A.8.2 Privileged access rights </t>
  </si>
  <si>
    <t xml:space="preserve">A.8.3 Information access restriction </t>
  </si>
  <si>
    <t xml:space="preserve">A.8.4 Access to source code </t>
  </si>
  <si>
    <t xml:space="preserve">A.8.5 Secure authentication </t>
  </si>
  <si>
    <t xml:space="preserve">A.8.6 Capacity management </t>
  </si>
  <si>
    <t xml:space="preserve">A.8.7 Protection against malware </t>
  </si>
  <si>
    <t>A.8.8 Management of technical vulnerabilities</t>
  </si>
  <si>
    <t xml:space="preserve">A.8.9 Configuration management </t>
  </si>
  <si>
    <t xml:space="preserve">A.8.1 Information deletion </t>
  </si>
  <si>
    <t xml:space="preserve">A.8.11 Data masking </t>
  </si>
  <si>
    <t xml:space="preserve">A.8.12 Data leakage prevention </t>
  </si>
  <si>
    <t xml:space="preserve">A.8.13 Information backup </t>
  </si>
  <si>
    <t>A.8.14 Redundancy of information processing facilities</t>
  </si>
  <si>
    <t xml:space="preserve">A.8.15 Logging </t>
  </si>
  <si>
    <t xml:space="preserve">A.8.16 Monitoring activities </t>
  </si>
  <si>
    <t xml:space="preserve">A.8.17 Clock synchronization </t>
  </si>
  <si>
    <t xml:space="preserve">A.8.18 Use of privileged utility programs </t>
  </si>
  <si>
    <t>A.8.19 Installation of software on operational systems</t>
  </si>
  <si>
    <t xml:space="preserve">A.8.21 Security of network services </t>
  </si>
  <si>
    <t xml:space="preserve">A.8.22 Segregation of networks </t>
  </si>
  <si>
    <t xml:space="preserve">A.8.23 Web filtering </t>
  </si>
  <si>
    <t xml:space="preserve">A.8.24 Use of cryptography </t>
  </si>
  <si>
    <t xml:space="preserve">A.8.25 Secure development life cycle </t>
  </si>
  <si>
    <t>A.8.26 Application security requirements</t>
  </si>
  <si>
    <t>A.8.27 Secure system architecture and engineering principles</t>
  </si>
  <si>
    <t xml:space="preserve">A.8.28 Secure coding </t>
  </si>
  <si>
    <t>A.8.29 Security testing in development and acceptance</t>
  </si>
  <si>
    <t xml:space="preserve">A.8.3 Outsourced development </t>
  </si>
  <si>
    <t>A.8.31 Separation of development, test and production environments</t>
  </si>
  <si>
    <t xml:space="preserve">A.8.32 Change management </t>
  </si>
  <si>
    <t xml:space="preserve">A.8.33 Test information </t>
  </si>
  <si>
    <t>A.8.34 Protection of information systems during audit testing</t>
  </si>
  <si>
    <t>10.2 Nonconformity and corrective action</t>
  </si>
  <si>
    <t>10.1  Continual improvement</t>
  </si>
  <si>
    <t>10.2§2</t>
  </si>
  <si>
    <t>10.2§3</t>
  </si>
  <si>
    <t>A.6 People controls</t>
  </si>
  <si>
    <t>A.8 Technological controls</t>
  </si>
  <si>
    <t>A.7 Physical controls</t>
  </si>
  <si>
    <t>A.5.10 Acceptable use of information and other associated assets</t>
  </si>
  <si>
    <t>Excluded</t>
  </si>
  <si>
    <t>Development</t>
  </si>
  <si>
    <t xml:space="preserve">A.8.20 Networks security </t>
  </si>
  <si>
    <t>A.8.24$2</t>
  </si>
  <si>
    <t>A.5.18$2</t>
  </si>
  <si>
    <t>A.5.21$2</t>
  </si>
  <si>
    <t>A.5$0</t>
  </si>
  <si>
    <t>A.5.1$1</t>
  </si>
  <si>
    <t>A.5.1$2</t>
  </si>
  <si>
    <t>A.5.2$1</t>
  </si>
  <si>
    <t>A.5.2$2</t>
  </si>
  <si>
    <t>A.5.3$1</t>
  </si>
  <si>
    <t>A.5.3$2</t>
  </si>
  <si>
    <t>A.5.4$1</t>
  </si>
  <si>
    <t>A.5.4$2</t>
  </si>
  <si>
    <t>A.5.5$1</t>
  </si>
  <si>
    <t>A.5.5$2</t>
  </si>
  <si>
    <t>A.5.6$1</t>
  </si>
  <si>
    <t>A.5.6$2</t>
  </si>
  <si>
    <t>A.5.7$1</t>
  </si>
  <si>
    <t>A.5.7$2</t>
  </si>
  <si>
    <t>A.5.8$1</t>
  </si>
  <si>
    <t>A.5.8$2</t>
  </si>
  <si>
    <t>A.5.9$1</t>
  </si>
  <si>
    <t>A.5.9$2</t>
  </si>
  <si>
    <t>A.5.10$1</t>
  </si>
  <si>
    <t>A.5.10$2</t>
  </si>
  <si>
    <t>A.5.11$1</t>
  </si>
  <si>
    <t>A.5.11$2</t>
  </si>
  <si>
    <t>A.5.12$1</t>
  </si>
  <si>
    <t>A.5.12$2</t>
  </si>
  <si>
    <t>A.5.13$1</t>
  </si>
  <si>
    <t>A.5.13$2</t>
  </si>
  <si>
    <t>A.5.14$1</t>
  </si>
  <si>
    <t>A.5.14$2</t>
  </si>
  <si>
    <t>A.5.15$1</t>
  </si>
  <si>
    <t>A.5.15$2</t>
  </si>
  <si>
    <t>A.5.16$1</t>
  </si>
  <si>
    <t>A.5.16$2</t>
  </si>
  <si>
    <t>A.5.17$1</t>
  </si>
  <si>
    <t>A.5.17$2</t>
  </si>
  <si>
    <t>A.5.18$1</t>
  </si>
  <si>
    <t>A.5.19$1</t>
  </si>
  <si>
    <t>A.5.19$2</t>
  </si>
  <si>
    <t>A.5.20$1</t>
  </si>
  <si>
    <t>A.5.20$2</t>
  </si>
  <si>
    <t>A.5.21$1</t>
  </si>
  <si>
    <t>A.6$0</t>
  </si>
  <si>
    <t>A.6.1$1</t>
  </si>
  <si>
    <t>A.7$0</t>
  </si>
  <si>
    <t>A.7.1$1</t>
  </si>
  <si>
    <t>A.7.1$2</t>
  </si>
  <si>
    <t>A.7.2$1</t>
  </si>
  <si>
    <t>A.8$0</t>
  </si>
  <si>
    <t>A.8.1$1</t>
  </si>
  <si>
    <t>A.8.1$2</t>
  </si>
  <si>
    <t>A.8.13$1</t>
  </si>
  <si>
    <t>A.8.18$2</t>
  </si>
  <si>
    <t>A.8.19$1</t>
  </si>
  <si>
    <t>A.8.19$2</t>
  </si>
  <si>
    <t>A.8.20$2</t>
  </si>
  <si>
    <t>A.8.21$2</t>
  </si>
  <si>
    <t>A.8.22$1</t>
  </si>
  <si>
    <t>A.8.23$2</t>
  </si>
  <si>
    <t>A.8.25$2</t>
  </si>
  <si>
    <t>A.8.26$2</t>
  </si>
  <si>
    <t>A.8.27$2</t>
  </si>
  <si>
    <t>A.8.28$1</t>
  </si>
  <si>
    <t>A.8.28$2</t>
  </si>
  <si>
    <t>A.8.29$2</t>
  </si>
  <si>
    <t>A.8.30$1</t>
  </si>
  <si>
    <t>A.8.30$2</t>
  </si>
  <si>
    <t>A.8.31$2</t>
  </si>
  <si>
    <t>A.8.32$1</t>
  </si>
  <si>
    <t>A.8.32$2</t>
  </si>
  <si>
    <t>A.8.33$1</t>
  </si>
  <si>
    <t>A.8.33$2</t>
  </si>
  <si>
    <t>A.8.34$1</t>
  </si>
  <si>
    <t>A.8.34$2</t>
  </si>
  <si>
    <t>A.5.22$2</t>
  </si>
  <si>
    <t>A.5.30$1</t>
  </si>
  <si>
    <t>A.5.30 ICT readiness for business continuity</t>
  </si>
  <si>
    <t>A.5.30$2</t>
  </si>
  <si>
    <t>A.5.31$2</t>
  </si>
  <si>
    <t>A.5.22$1</t>
  </si>
  <si>
    <t>A.5.23$1</t>
  </si>
  <si>
    <t>A.5.23$2</t>
  </si>
  <si>
    <t>A.5.24$1</t>
  </si>
  <si>
    <t>A.5.25$1</t>
  </si>
  <si>
    <t>A.5.26$1</t>
  </si>
  <si>
    <t>A.5.26$2</t>
  </si>
  <si>
    <t>A.5.27$1</t>
  </si>
  <si>
    <t>A.5.28$1</t>
  </si>
  <si>
    <t>A.5.29$2</t>
  </si>
  <si>
    <t>A.5.29$1</t>
  </si>
  <si>
    <t>A.5.31$1</t>
  </si>
  <si>
    <t>A.8.29$1</t>
  </si>
  <si>
    <t>A.8.27$1</t>
  </si>
  <si>
    <t>A.8.26$1</t>
  </si>
  <si>
    <t>A.8.25$1</t>
  </si>
  <si>
    <t>A.8.24$1</t>
  </si>
  <si>
    <t>A.8.23$1</t>
  </si>
  <si>
    <t>A.8.22$2</t>
  </si>
  <si>
    <t>A.8.21$1</t>
  </si>
  <si>
    <t>A.8.20$1</t>
  </si>
  <si>
    <t>A.8.18$1</t>
  </si>
  <si>
    <t>A.8.17$1</t>
  </si>
  <si>
    <t>A.8.15$2</t>
  </si>
  <si>
    <t>A.8.16$2</t>
  </si>
  <si>
    <t>A.8.16$1</t>
  </si>
  <si>
    <t>A.8.14$2</t>
  </si>
  <si>
    <t>A.8.14$1</t>
  </si>
  <si>
    <t>A.8.13$2</t>
  </si>
  <si>
    <t>A.8.12$2</t>
  </si>
  <si>
    <t>A.8.12$1</t>
  </si>
  <si>
    <t>A.8.11$2</t>
  </si>
  <si>
    <t>A.8.11$1</t>
  </si>
  <si>
    <t>A.8.10$2</t>
  </si>
  <si>
    <t>A.8.10$1</t>
  </si>
  <si>
    <t>A.8.9$1</t>
  </si>
  <si>
    <t>A.8.2$2</t>
  </si>
  <si>
    <t>A.8.8$1</t>
  </si>
  <si>
    <t>A.8.8$2</t>
  </si>
  <si>
    <t>A.8.7$2</t>
  </si>
  <si>
    <t>A.8.7$1</t>
  </si>
  <si>
    <t>A.8.6$2</t>
  </si>
  <si>
    <t>A.8.6$1</t>
  </si>
  <si>
    <t>A.8.5$2</t>
  </si>
  <si>
    <t>A.8.5$1</t>
  </si>
  <si>
    <t>A.8.4$2</t>
  </si>
  <si>
    <t>A.8.4$1</t>
  </si>
  <si>
    <t>A.8.3$2</t>
  </si>
  <si>
    <t>A.8.3$1</t>
  </si>
  <si>
    <t>A.8.2$1</t>
  </si>
  <si>
    <t>A.7.14$1</t>
  </si>
  <si>
    <t>A.7.14$2</t>
  </si>
  <si>
    <t>A.7.13$1</t>
  </si>
  <si>
    <t>A.7.13$2</t>
  </si>
  <si>
    <t>A.7.10$2</t>
  </si>
  <si>
    <t>A.7.6$1</t>
  </si>
  <si>
    <t>A.7.6$2</t>
  </si>
  <si>
    <t>A.7.4$2</t>
  </si>
  <si>
    <t>A.7.4$1</t>
  </si>
  <si>
    <t>A.7.2$2</t>
  </si>
  <si>
    <t>A.6.1$2</t>
  </si>
  <si>
    <t>A.5.24$2</t>
  </si>
  <si>
    <t>A.5.25$2</t>
  </si>
  <si>
    <t>A.5.27$2</t>
  </si>
  <si>
    <t>A.5.28$2</t>
  </si>
  <si>
    <t xml:space="preserve"> #Governance</t>
  </si>
  <si>
    <t xml:space="preserve"> #Governance #Identity_and_access_management</t>
  </si>
  <si>
    <t xml:space="preserve"> #Threat_and_vulnerability_management</t>
  </si>
  <si>
    <t xml:space="preserve"> #Asset_management</t>
  </si>
  <si>
    <t xml:space="preserve"> #Asset_management #Information_protection</t>
  </si>
  <si>
    <t xml:space="preserve"> #Information_protection</t>
  </si>
  <si>
    <t xml:space="preserve"> #Identity_and_access_management</t>
  </si>
  <si>
    <t xml:space="preserve"> #Supplier_relationships_security</t>
  </si>
  <si>
    <t xml:space="preserve"> #Governance #Information_security_event_management</t>
  </si>
  <si>
    <t xml:space="preserve"> #Information_security_event_management</t>
  </si>
  <si>
    <t xml:space="preserve"> #Continuity</t>
  </si>
  <si>
    <t xml:space="preserve"> #Legal_and_compliance</t>
  </si>
  <si>
    <t xml:space="preserve"> #Legal_and_compliance #Asset_management #Information_protection</t>
  </si>
  <si>
    <t xml:space="preserve"> #Information_protection #Legal_and_compliance</t>
  </si>
  <si>
    <t xml:space="preserve"> #Information_security_assurance</t>
  </si>
  <si>
    <t xml:space="preserve"> #Legal_and_compliance #Information_security_assurance</t>
  </si>
  <si>
    <t xml:space="preserve"> #Asset_management #Physical_security #System_and_network_security #Application_security #Secure_configuration #Identity_and_access_management #Threat_and_vulnerability_management #Continuity #Information_security_event_management</t>
  </si>
  <si>
    <t xml:space="preserve"> #Human_resource_security</t>
  </si>
  <si>
    <t xml:space="preserve"> #Human_resource_security #Asset_management</t>
  </si>
  <si>
    <t xml:space="preserve"> #Human_resource_security #Information_protection #Supplier_relationships</t>
  </si>
  <si>
    <t xml:space="preserve"> #Asset_management #Information_protection #Physical_security #System_and_network_security</t>
  </si>
  <si>
    <t xml:space="preserve"> #Physical_security</t>
  </si>
  <si>
    <t xml:space="preserve"> #Physical_security #Identity_and_Access_Management</t>
  </si>
  <si>
    <t xml:space="preserve"> #Physical_security #Asset_management</t>
  </si>
  <si>
    <t xml:space="preserve"> #Physical_security-</t>
  </si>
  <si>
    <t xml:space="preserve"> #Identity_and_access_management #Application_security #Secure_configuration</t>
  </si>
  <si>
    <t xml:space="preserve"> #System_and_network_security #Information_protection</t>
  </si>
  <si>
    <t xml:space="preserve"> #Secure_configuration</t>
  </si>
  <si>
    <t xml:space="preserve"> #Continuity #Asset_management</t>
  </si>
  <si>
    <t xml:space="preserve"> #System_and_network_security #Secure_configuration #Application_security</t>
  </si>
  <si>
    <t xml:space="preserve"> #Secure_configuration #Application_security</t>
  </si>
  <si>
    <t xml:space="preserve"> #System_and_network_security</t>
  </si>
  <si>
    <t xml:space="preserve"> #Application_security #System_and_network_security</t>
  </si>
  <si>
    <t xml:space="preserve"> #Application_security #Information_security_assurance #System_and_network_security</t>
  </si>
  <si>
    <t xml:space="preserve"> #System_and_network_security #Application_security #Supplier_relationships_security</t>
  </si>
  <si>
    <t>A.5.32$1</t>
  </si>
  <si>
    <t>A.5.32$2</t>
  </si>
  <si>
    <t>A.5.33$1</t>
  </si>
  <si>
    <t>A.5.33$2</t>
  </si>
  <si>
    <t>A.5.34$1</t>
  </si>
  <si>
    <t>A.5.34$2</t>
  </si>
  <si>
    <t>A.5.35$1</t>
  </si>
  <si>
    <t>A.5.35$2</t>
  </si>
  <si>
    <t>A.5.36$1</t>
  </si>
  <si>
    <t>A.5.36$2</t>
  </si>
  <si>
    <t>A.5.37$1</t>
  </si>
  <si>
    <t>A.5.37$2</t>
  </si>
  <si>
    <t>A.6.2$1</t>
  </si>
  <si>
    <t>A.6.2$2</t>
  </si>
  <si>
    <t>A.6.3$1</t>
  </si>
  <si>
    <t>A.6.3$2</t>
  </si>
  <si>
    <t>A.6.4$1</t>
  </si>
  <si>
    <t>A.6.4$2</t>
  </si>
  <si>
    <t>A.6.5$1</t>
  </si>
  <si>
    <t>A.6.5$2</t>
  </si>
  <si>
    <t>A.6.6$1</t>
  </si>
  <si>
    <t>A.6.6$2</t>
  </si>
  <si>
    <t>A.6.7$1</t>
  </si>
  <si>
    <t>A.6.7$2</t>
  </si>
  <si>
    <t>A.6.8$1</t>
  </si>
  <si>
    <t>A.6.8$2</t>
  </si>
  <si>
    <t>A.7.3$1</t>
  </si>
  <si>
    <t>A.7.3$2</t>
  </si>
  <si>
    <t>A.7.5$1</t>
  </si>
  <si>
    <t>A.7.5$2</t>
  </si>
  <si>
    <t>A.7.7$1</t>
  </si>
  <si>
    <t>A.7.7$2</t>
  </si>
  <si>
    <t>A.7.8$1</t>
  </si>
  <si>
    <t>A.7.8$2</t>
  </si>
  <si>
    <t>A.7.9$1</t>
  </si>
  <si>
    <t>A.7.9$2</t>
  </si>
  <si>
    <t>A.7.10$1</t>
  </si>
  <si>
    <t>A.7.11$1</t>
  </si>
  <si>
    <t>A.7.11$2</t>
  </si>
  <si>
    <t>A.7.12$1</t>
  </si>
  <si>
    <t>A.7.12$2</t>
  </si>
  <si>
    <t>A.8.31$1</t>
  </si>
  <si>
    <t>Other</t>
  </si>
  <si>
    <t>Supplier Mgmt</t>
  </si>
  <si>
    <t>x</t>
  </si>
  <si>
    <t xml:space="preserve">A.7.10 Storage media </t>
  </si>
  <si>
    <t>End user</t>
  </si>
  <si>
    <t>audit evidence / sample record references witnessed  / operational proof</t>
  </si>
  <si>
    <t>Audit qualification
(white = TC, 
green=OK, 
yellow=OFI, 
orange=minor NC,
red = major NC)</t>
  </si>
  <si>
    <t>By default all the management clause must be implemented.(no exclusions allowed)</t>
  </si>
  <si>
    <t>Fill in: add reference documents with links below
like: policies, procedure, process documentation,..
Hint: add version nr</t>
  </si>
  <si>
    <t>&lt;policy/procedure/process definition&gt;</t>
  </si>
  <si>
    <t>&lt;where to find evidence&gt;</t>
  </si>
  <si>
    <t>&lt;who to talk to&gt;</t>
  </si>
  <si>
    <t>&lt;operational evidence&gt;</t>
  </si>
  <si>
    <t>&lt;extra info&gt;</t>
  </si>
  <si>
    <t>Operational Evidence witnessed / Proof found 
during audit</t>
  </si>
  <si>
    <t>Auditor Comments 
(extra info / interpretation)</t>
  </si>
  <si>
    <t>Yes/ No</t>
  </si>
  <si>
    <t>Relevant Process Owner
(you can insert or remove columns to add/remove departments)</t>
  </si>
  <si>
    <t>Yes/no</t>
  </si>
  <si>
    <t>Group (#Tag)</t>
  </si>
  <si>
    <t>Internal Audit checklist
ISO/IEC 27001:2022</t>
  </si>
  <si>
    <t>ISO/IEC 27001 Clauses</t>
  </si>
  <si>
    <t>ISO/IEC 27001 Controls</t>
  </si>
  <si>
    <t>A.5.20 Addressing information security within supplier agreements</t>
  </si>
  <si>
    <t>6.3§0</t>
  </si>
  <si>
    <t>6.3 Planning of changes</t>
  </si>
  <si>
    <t>When the organization determines the need for changes to the information security management system, the changes shall be carried out in a planned manner.</t>
  </si>
  <si>
    <t>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</si>
</sst>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1"/>
      <color theme="1"/>
      <name val="Calibri"/>
      <family val="2"/>
      <scheme val="minor"/>
    </font>
    <font>
      <sz val="6"/>
      <name val="Arial"/>
      <family val="2"/>
    </font>
    <font>
      <sz val="8"/>
      <name val="Arial"/>
      <family val="2"/>
    </font>
    <font>
      <b/>
      <i/>
      <sz val="10"/>
      <name val="Arial"/>
      <family val="2"/>
    </font>
    <font>
      <b/>
      <sz val="10"/>
      <name val="Arial"/>
      <family val="2"/>
    </font>
    <font>
      <sz val="10"/>
      <name val="Arial"/>
      <family val="2"/>
    </font>
    <font>
      <u/>
      <sz val="10"/>
      <color theme="10"/>
      <name val="Arial"/>
      <family val="2"/>
    </font>
    <font>
      <sz val="10"/>
      <color theme="10"/>
      <name val="Arial"/>
      <family val="2"/>
    </font>
    <font>
      <sz val="9"/>
      <name val="Arial"/>
      <family val="2"/>
    </font>
    <font>
      <b/>
      <sz val="11"/>
      <color theme="1"/>
      <name val="Calibri"/>
      <family val="2"/>
      <scheme val="minor"/>
    </font>
    <font>
      <b/>
      <sz val="20"/>
      <color theme="1"/>
      <name val="Calibri"/>
      <family val="2"/>
      <scheme val="minor"/>
    </font>
    <font>
      <sz val="12"/>
      <color theme="1"/>
      <name val="Arial"/>
      <family val="2"/>
    </font>
    <font>
      <u/>
      <sz val="8"/>
      <name val="Arial"/>
      <family val="2"/>
    </font>
    <font>
      <b/>
      <sz val="9"/>
      <name val="Arial"/>
      <family val="2"/>
    </font>
    <font>
      <sz val="11"/>
      <color rgb="FFFF0000"/>
      <name val="Calibri"/>
      <family val="2"/>
      <scheme val="minor"/>
    </font>
    <font>
      <sz val="11"/>
      <color theme="0"/>
      <name val="Calibri"/>
      <family val="2"/>
      <scheme val="minor"/>
    </font>
    <font>
      <sz val="11"/>
      <color rgb="FF006100"/>
      <name val="Calibri"/>
      <family val="2"/>
      <scheme val="minor"/>
    </font>
    <font>
      <b/>
      <sz val="11"/>
      <color theme="1"/>
      <name val="Arial"/>
      <family val="2"/>
    </font>
    <font>
      <b/>
      <i/>
      <sz val="12"/>
      <color indexed="8"/>
      <name val="Arial"/>
      <family val="2"/>
    </font>
    <font>
      <sz val="11"/>
      <color theme="1"/>
      <name val="Arial"/>
      <family val="2"/>
    </font>
    <font>
      <b/>
      <i/>
      <sz val="10"/>
      <color indexed="8"/>
      <name val="Arial"/>
      <family val="2"/>
    </font>
    <font>
      <i/>
      <sz val="10"/>
      <name val="Arial"/>
      <family val="2"/>
    </font>
    <font>
      <b/>
      <i/>
      <sz val="28"/>
      <name val="Arial"/>
      <family val="2"/>
    </font>
    <font>
      <b/>
      <i/>
      <sz val="14"/>
      <color indexed="8"/>
      <name val="Arial"/>
      <family val="2"/>
    </font>
    <font>
      <b/>
      <i/>
      <u/>
      <sz val="12"/>
      <name val="Arial"/>
      <family val="2"/>
    </font>
    <font>
      <b/>
      <i/>
      <u/>
      <sz val="12"/>
      <color indexed="8"/>
      <name val="Arial"/>
      <family val="2"/>
    </font>
    <font>
      <sz val="11"/>
      <color rgb="FF9C0006"/>
      <name val="Calibri"/>
      <family val="2"/>
      <scheme val="minor"/>
    </font>
    <font>
      <sz val="11"/>
      <color rgb="FF9C5700"/>
      <name val="Calibri"/>
      <family val="2"/>
      <scheme val="minor"/>
    </font>
    <font>
      <sz val="6"/>
      <color theme="1"/>
      <name val="Calibri"/>
      <family val="2"/>
      <scheme val="minor"/>
    </font>
    <font>
      <sz val="11"/>
      <color rgb="FF9C5700"/>
      <name val="Arial"/>
      <family val="2"/>
    </font>
    <font>
      <sz val="12"/>
      <color theme="1"/>
      <name val="Arial"/>
      <family val="2"/>
    </font>
  </fonts>
  <fills count="13">
    <fill>
      <patternFill patternType="none"/>
    </fill>
    <fill>
      <patternFill patternType="gray125"/>
    </fill>
    <fill>
      <patternFill patternType="solid">
        <fgColor indexed="4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FEB9C"/>
      </patternFill>
    </fill>
  </fills>
  <borders count="24">
    <border>
      <left/>
      <right/>
      <top/>
      <bottom/>
      <diagonal/>
    </border>
    <border>
      <left style="thin">
        <color auto="1"/>
      </left>
      <right/>
      <top style="thin">
        <color auto="1"/>
      </top>
      <bottom style="thin">
        <color auto="1"/>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auto="1"/>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indexed="64"/>
      </right>
      <top/>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xf numFmtId="0" fontId="16" fillId="10" borderId="0" applyNumberFormat="0" applyBorder="0" applyAlignment="0" applyProtection="0"/>
    <xf numFmtId="0" fontId="26" fillId="11" borderId="0" applyNumberFormat="0" applyBorder="0" applyAlignment="0" applyProtection="0"/>
    <xf numFmtId="0" fontId="27" fillId="12" borderId="0" applyNumberFormat="0" applyBorder="0" applyAlignment="0" applyProtection="0"/>
  </cellStyleXfs>
  <cellXfs count="163">
    <xf numFmtId="0" fontId="0" fillId="0" borderId="0" xfId="0"/>
    <xf numFmtId="0" fontId="0" fillId="0" borderId="0" xfId="0"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4" fillId="0" borderId="0" xfId="0" applyFont="1" applyAlignment="1">
      <alignment horizontal="left" vertical="top" wrapText="1"/>
    </xf>
    <xf numFmtId="0" fontId="7" fillId="2" borderId="4" xfId="1" applyFont="1" applyFill="1" applyBorder="1" applyAlignment="1" applyProtection="1">
      <alignment horizontal="left" vertical="top" wrapText="1"/>
      <protection locked="0"/>
    </xf>
    <xf numFmtId="1" fontId="5" fillId="2" borderId="5" xfId="0" applyNumberFormat="1" applyFont="1" applyFill="1" applyBorder="1" applyAlignment="1" applyProtection="1">
      <alignment horizontal="left" vertical="top" wrapText="1"/>
      <protection locked="0"/>
    </xf>
    <xf numFmtId="0" fontId="7" fillId="2" borderId="6" xfId="1" applyFont="1" applyFill="1" applyBorder="1" applyAlignment="1" applyProtection="1">
      <alignment horizontal="left" vertical="top" wrapText="1"/>
      <protection locked="0"/>
    </xf>
    <xf numFmtId="1" fontId="5" fillId="2" borderId="1" xfId="0" applyNumberFormat="1" applyFont="1" applyFill="1" applyBorder="1" applyAlignment="1" applyProtection="1">
      <alignment horizontal="left" vertical="top" wrapText="1"/>
      <protection locked="0"/>
    </xf>
    <xf numFmtId="0" fontId="5" fillId="2" borderId="6" xfId="0" applyFont="1" applyFill="1" applyBorder="1" applyAlignment="1" applyProtection="1">
      <alignment horizontal="left" vertical="top" wrapText="1"/>
      <protection locked="0"/>
    </xf>
    <xf numFmtId="1" fontId="7" fillId="2" borderId="1" xfId="1" applyNumberFormat="1" applyFont="1" applyFill="1" applyBorder="1" applyAlignment="1" applyProtection="1">
      <alignment horizontal="left" vertical="top" wrapText="1"/>
      <protection locked="0"/>
    </xf>
    <xf numFmtId="0" fontId="5" fillId="2" borderId="1" xfId="0" applyFont="1" applyFill="1" applyBorder="1" applyAlignment="1" applyProtection="1">
      <alignment horizontal="left" vertical="top" wrapText="1"/>
      <protection locked="0"/>
    </xf>
    <xf numFmtId="0" fontId="0" fillId="0" borderId="0" xfId="0" applyAlignment="1">
      <alignment horizontal="left" vertical="top"/>
    </xf>
    <xf numFmtId="0" fontId="1" fillId="0" borderId="0" xfId="0" applyFont="1" applyAlignment="1">
      <alignment vertical="top" textRotation="90" wrapText="1"/>
    </xf>
    <xf numFmtId="0" fontId="4" fillId="3" borderId="0" xfId="0" applyFont="1" applyFill="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3" fillId="0" borderId="6" xfId="0" applyFont="1" applyBorder="1" applyAlignment="1">
      <alignment horizontal="left" vertical="top" wrapText="1"/>
    </xf>
    <xf numFmtId="0" fontId="11" fillId="0" borderId="6" xfId="0" applyFont="1" applyBorder="1" applyAlignment="1">
      <alignment horizontal="right" vertical="top" wrapText="1"/>
    </xf>
    <xf numFmtId="0" fontId="11" fillId="5" borderId="6" xfId="0" applyFont="1" applyFill="1" applyBorder="1" applyAlignment="1">
      <alignment horizontal="right" vertical="top" wrapText="1"/>
    </xf>
    <xf numFmtId="0" fontId="11" fillId="5" borderId="6" xfId="0" applyFont="1" applyFill="1" applyBorder="1" applyAlignment="1">
      <alignment horizontal="left" vertical="top" wrapText="1"/>
    </xf>
    <xf numFmtId="0" fontId="11" fillId="3" borderId="6" xfId="0" applyFont="1" applyFill="1" applyBorder="1" applyAlignment="1">
      <alignment horizontal="right" vertical="top" wrapText="1"/>
    </xf>
    <xf numFmtId="0" fontId="11" fillId="3" borderId="6" xfId="0" applyFont="1" applyFill="1" applyBorder="1" applyAlignment="1">
      <alignment horizontal="left" vertical="top" wrapText="1"/>
    </xf>
    <xf numFmtId="0" fontId="11" fillId="6" borderId="6" xfId="0" applyFont="1" applyFill="1" applyBorder="1" applyAlignment="1">
      <alignment horizontal="right" vertical="top" wrapText="1"/>
    </xf>
    <xf numFmtId="0" fontId="11" fillId="6" borderId="6" xfId="0" applyFont="1" applyFill="1" applyBorder="1" applyAlignment="1">
      <alignment horizontal="left" vertical="top" wrapText="1"/>
    </xf>
    <xf numFmtId="0" fontId="11" fillId="7" borderId="6" xfId="0" applyFont="1" applyFill="1" applyBorder="1" applyAlignment="1">
      <alignment horizontal="right" vertical="top" wrapText="1"/>
    </xf>
    <xf numFmtId="0" fontId="11" fillId="7" borderId="6" xfId="0" applyFont="1" applyFill="1" applyBorder="1" applyAlignment="1">
      <alignment horizontal="left" vertical="top" wrapText="1"/>
    </xf>
    <xf numFmtId="0" fontId="0" fillId="5" borderId="0" xfId="0" applyFill="1"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0" fillId="6" borderId="0" xfId="0" applyFill="1" applyAlignment="1">
      <alignment horizontal="left" vertical="top"/>
    </xf>
    <xf numFmtId="0" fontId="0" fillId="7" borderId="0" xfId="0" applyFill="1" applyAlignment="1">
      <alignment horizontal="left" vertical="top"/>
    </xf>
    <xf numFmtId="0" fontId="11" fillId="0" borderId="0" xfId="0" applyFont="1"/>
    <xf numFmtId="0" fontId="14" fillId="0" borderId="1" xfId="0" applyFont="1" applyBorder="1" applyAlignment="1">
      <alignment horizontal="left" vertical="top"/>
    </xf>
    <xf numFmtId="0" fontId="14" fillId="0" borderId="3" xfId="0" applyFont="1" applyBorder="1" applyAlignment="1">
      <alignment horizontal="left" vertical="top"/>
    </xf>
    <xf numFmtId="14" fontId="0" fillId="0" borderId="11" xfId="0" applyNumberFormat="1" applyBorder="1"/>
    <xf numFmtId="0" fontId="0" fillId="8" borderId="0" xfId="0" applyFill="1" applyAlignment="1">
      <alignment horizontal="left" vertical="top"/>
    </xf>
    <xf numFmtId="0" fontId="15" fillId="9" borderId="0" xfId="0" applyFont="1" applyFill="1" applyAlignment="1">
      <alignment horizontal="left" vertical="top"/>
    </xf>
    <xf numFmtId="0" fontId="7" fillId="2" borderId="5" xfId="1" applyFont="1" applyFill="1" applyBorder="1" applyAlignment="1" applyProtection="1">
      <alignment horizontal="left" vertical="top" wrapText="1"/>
      <protection locked="0"/>
    </xf>
    <xf numFmtId="0" fontId="7" fillId="2" borderId="1" xfId="1" applyFont="1" applyFill="1" applyBorder="1" applyAlignment="1" applyProtection="1">
      <alignment horizontal="left" vertical="top" wrapText="1"/>
      <protection locked="0"/>
    </xf>
    <xf numFmtId="0" fontId="9" fillId="0" borderId="0" xfId="0" applyFont="1"/>
    <xf numFmtId="164" fontId="0" fillId="0" borderId="0" xfId="0" applyNumberFormat="1"/>
    <xf numFmtId="0" fontId="0" fillId="3" borderId="0" xfId="0" applyFill="1"/>
    <xf numFmtId="164" fontId="0" fillId="3" borderId="0" xfId="0" applyNumberFormat="1" applyFill="1"/>
    <xf numFmtId="0" fontId="5" fillId="0" borderId="0" xfId="0" applyFont="1" applyAlignment="1">
      <alignment vertical="top" textRotation="90" wrapText="1"/>
    </xf>
    <xf numFmtId="0" fontId="9" fillId="0" borderId="0" xfId="0" applyFont="1" applyAlignment="1">
      <alignment horizontal="left" vertical="top"/>
    </xf>
    <xf numFmtId="0" fontId="5" fillId="4" borderId="15" xfId="0" applyFont="1" applyFill="1" applyBorder="1" applyAlignment="1">
      <alignment horizontal="left" vertical="top" wrapText="1"/>
    </xf>
    <xf numFmtId="0" fontId="6" fillId="2" borderId="6" xfId="1" applyFill="1" applyBorder="1" applyAlignment="1" applyProtection="1">
      <alignment horizontal="left" vertical="top" wrapText="1"/>
      <protection locked="0"/>
    </xf>
    <xf numFmtId="0" fontId="22" fillId="0" borderId="0" xfId="0" applyFont="1" applyAlignment="1">
      <alignment horizontal="left" vertical="top" wrapText="1"/>
    </xf>
    <xf numFmtId="0" fontId="13" fillId="3" borderId="17" xfId="0" applyFont="1" applyFill="1" applyBorder="1" applyAlignment="1">
      <alignment horizontal="left" vertical="top" wrapText="1"/>
    </xf>
    <xf numFmtId="0" fontId="4" fillId="0" borderId="17" xfId="0" applyFont="1" applyBorder="1" applyAlignment="1">
      <alignment horizontal="center" vertical="top" wrapText="1"/>
    </xf>
    <xf numFmtId="49" fontId="2" fillId="4" borderId="21" xfId="0" applyNumberFormat="1" applyFont="1" applyFill="1" applyBorder="1" applyAlignment="1">
      <alignment vertical="top" textRotation="90"/>
    </xf>
    <xf numFmtId="0" fontId="23" fillId="4" borderId="15" xfId="0" applyFont="1" applyFill="1" applyBorder="1" applyAlignment="1">
      <alignment horizontal="left" vertical="top" wrapText="1"/>
    </xf>
    <xf numFmtId="49" fontId="2" fillId="4" borderId="5" xfId="0" applyNumberFormat="1" applyFont="1" applyFill="1" applyBorder="1" applyAlignment="1">
      <alignment vertical="top" textRotation="90"/>
    </xf>
    <xf numFmtId="0" fontId="5" fillId="4" borderId="16" xfId="0" applyFont="1" applyFill="1" applyBorder="1" applyAlignment="1">
      <alignment horizontal="left" vertical="top" wrapText="1"/>
    </xf>
    <xf numFmtId="49" fontId="12" fillId="4" borderId="1" xfId="0" applyNumberFormat="1" applyFont="1" applyFill="1" applyBorder="1" applyAlignment="1">
      <alignment vertical="top" textRotation="90"/>
    </xf>
    <xf numFmtId="49" fontId="2" fillId="4" borderId="1" xfId="0" applyNumberFormat="1" applyFont="1" applyFill="1" applyBorder="1" applyAlignment="1">
      <alignment vertical="top" textRotation="90"/>
    </xf>
    <xf numFmtId="0" fontId="5" fillId="4" borderId="2" xfId="0" applyFont="1" applyFill="1" applyBorder="1" applyAlignment="1">
      <alignment horizontal="left" vertical="top" wrapText="1"/>
    </xf>
    <xf numFmtId="1" fontId="8" fillId="4" borderId="2" xfId="0" applyNumberFormat="1" applyFont="1" applyFill="1" applyBorder="1" applyAlignment="1">
      <alignment horizontal="left" vertical="top" wrapText="1"/>
    </xf>
    <xf numFmtId="0" fontId="11" fillId="4" borderId="2" xfId="0" applyFont="1" applyFill="1" applyBorder="1" applyAlignment="1">
      <alignment horizontal="left" vertical="top" wrapText="1"/>
    </xf>
    <xf numFmtId="0" fontId="19" fillId="4" borderId="2" xfId="0" applyFont="1" applyFill="1" applyBorder="1" applyAlignment="1">
      <alignment horizontal="center" vertical="center"/>
    </xf>
    <xf numFmtId="1" fontId="8" fillId="4" borderId="15" xfId="0" applyNumberFormat="1" applyFont="1" applyFill="1" applyBorder="1" applyAlignment="1">
      <alignment horizontal="left" vertical="top" wrapText="1"/>
    </xf>
    <xf numFmtId="0" fontId="18" fillId="4" borderId="16" xfId="0" applyFont="1" applyFill="1" applyBorder="1" applyAlignment="1">
      <alignment horizontal="left" vertical="top" wrapText="1"/>
    </xf>
    <xf numFmtId="1" fontId="8" fillId="4" borderId="16" xfId="0" applyNumberFormat="1" applyFont="1" applyFill="1" applyBorder="1" applyAlignment="1">
      <alignment horizontal="left" vertical="top" wrapText="1"/>
    </xf>
    <xf numFmtId="0" fontId="18" fillId="4" borderId="2" xfId="0" applyFont="1" applyFill="1" applyBorder="1" applyAlignment="1">
      <alignment horizontal="left" vertical="top" wrapText="1"/>
    </xf>
    <xf numFmtId="0" fontId="20" fillId="4" borderId="2" xfId="0" applyFont="1" applyFill="1" applyBorder="1" applyAlignment="1">
      <alignment horizontal="left" vertical="top" wrapText="1"/>
    </xf>
    <xf numFmtId="0" fontId="18" fillId="4" borderId="15" xfId="0" applyFont="1" applyFill="1" applyBorder="1" applyAlignment="1">
      <alignment horizontal="left" vertical="top" wrapText="1"/>
    </xf>
    <xf numFmtId="0" fontId="20" fillId="4" borderId="16" xfId="0" applyFont="1" applyFill="1" applyBorder="1" applyAlignment="1">
      <alignment horizontal="left" vertical="top" wrapText="1"/>
    </xf>
    <xf numFmtId="49" fontId="2" fillId="0" borderId="0" xfId="0" applyNumberFormat="1" applyFont="1" applyAlignment="1" applyProtection="1">
      <alignment vertical="top" textRotation="90"/>
      <protection locked="0"/>
    </xf>
    <xf numFmtId="0" fontId="21" fillId="2" borderId="22" xfId="0" applyFont="1" applyFill="1" applyBorder="1" applyAlignment="1" applyProtection="1">
      <alignment horizontal="left" vertical="top" wrapText="1"/>
      <protection locked="0"/>
    </xf>
    <xf numFmtId="0" fontId="7" fillId="2" borderId="19" xfId="1" applyFont="1" applyFill="1" applyBorder="1" applyAlignment="1" applyProtection="1">
      <alignment horizontal="left" vertical="top" wrapText="1"/>
      <protection locked="0"/>
    </xf>
    <xf numFmtId="0" fontId="7" fillId="2" borderId="20" xfId="1" applyFont="1" applyFill="1" applyBorder="1" applyAlignment="1" applyProtection="1">
      <alignment horizontal="left" vertical="top" wrapText="1"/>
      <protection locked="0"/>
    </xf>
    <xf numFmtId="1" fontId="5" fillId="2" borderId="20" xfId="0" applyNumberFormat="1" applyFont="1" applyFill="1" applyBorder="1" applyAlignment="1" applyProtection="1">
      <alignment horizontal="left" vertical="top" wrapText="1"/>
      <protection locked="0"/>
    </xf>
    <xf numFmtId="0" fontId="11" fillId="0" borderId="19" xfId="0" applyFont="1" applyBorder="1" applyAlignment="1" applyProtection="1">
      <alignment horizontal="left" vertical="top" wrapText="1"/>
      <protection locked="0"/>
    </xf>
    <xf numFmtId="0" fontId="19" fillId="0" borderId="19" xfId="0" applyFont="1" applyBorder="1" applyAlignment="1" applyProtection="1">
      <alignment horizontal="center" vertical="center"/>
      <protection locked="0"/>
    </xf>
    <xf numFmtId="0" fontId="21" fillId="2" borderId="23" xfId="0" applyFont="1" applyFill="1" applyBorder="1" applyAlignment="1" applyProtection="1">
      <alignment horizontal="left" vertical="top" wrapText="1"/>
      <protection locked="0"/>
    </xf>
    <xf numFmtId="0" fontId="19" fillId="0" borderId="4" xfId="0" applyFont="1" applyBorder="1" applyAlignment="1" applyProtection="1">
      <alignment horizontal="center" vertical="center"/>
      <protection locked="0"/>
    </xf>
    <xf numFmtId="0" fontId="21" fillId="2" borderId="3" xfId="0" applyFont="1" applyFill="1" applyBorder="1" applyAlignment="1" applyProtection="1">
      <alignment horizontal="left" vertical="top" wrapText="1"/>
      <protection locked="0"/>
    </xf>
    <xf numFmtId="0" fontId="11" fillId="0" borderId="6" xfId="0" applyFont="1" applyBorder="1" applyAlignment="1" applyProtection="1">
      <alignment horizontal="left" vertical="top" wrapText="1"/>
      <protection locked="0"/>
    </xf>
    <xf numFmtId="0" fontId="19" fillId="0" borderId="6" xfId="0" applyFont="1" applyBorder="1" applyAlignment="1" applyProtection="1">
      <alignment horizontal="center" vertical="center"/>
      <protection locked="0"/>
    </xf>
    <xf numFmtId="0" fontId="21" fillId="2" borderId="18" xfId="0" applyFont="1" applyFill="1" applyBorder="1" applyAlignment="1" applyProtection="1">
      <alignment horizontal="left" vertical="top" wrapText="1"/>
      <protection locked="0"/>
    </xf>
    <xf numFmtId="0" fontId="7" fillId="2" borderId="17" xfId="1" applyFont="1" applyFill="1" applyBorder="1" applyAlignment="1" applyProtection="1">
      <alignment horizontal="left" vertical="top" wrapText="1"/>
      <protection locked="0"/>
    </xf>
    <xf numFmtId="0" fontId="7" fillId="2" borderId="21" xfId="1" applyFont="1" applyFill="1" applyBorder="1" applyAlignment="1" applyProtection="1">
      <alignment horizontal="left" vertical="top" wrapText="1"/>
      <protection locked="0"/>
    </xf>
    <xf numFmtId="1" fontId="5" fillId="2" borderId="21" xfId="0" applyNumberFormat="1" applyFont="1" applyFill="1" applyBorder="1" applyAlignment="1" applyProtection="1">
      <alignment horizontal="left" vertical="top" wrapText="1"/>
      <protection locked="0"/>
    </xf>
    <xf numFmtId="0" fontId="11" fillId="0" borderId="17" xfId="0" applyFont="1" applyBorder="1" applyAlignment="1" applyProtection="1">
      <alignment horizontal="left" vertical="top" wrapText="1"/>
      <protection locked="0"/>
    </xf>
    <xf numFmtId="0" fontId="19" fillId="0" borderId="17" xfId="0" applyFont="1" applyBorder="1" applyAlignment="1" applyProtection="1">
      <alignment horizontal="center" vertical="center"/>
      <protection locked="0"/>
    </xf>
    <xf numFmtId="1" fontId="6" fillId="2" borderId="20" xfId="1" applyNumberFormat="1" applyFill="1" applyBorder="1" applyAlignment="1" applyProtection="1">
      <alignment horizontal="left" vertical="top" wrapText="1"/>
      <protection locked="0"/>
    </xf>
    <xf numFmtId="0" fontId="6" fillId="2" borderId="19" xfId="1" applyFill="1" applyBorder="1" applyAlignment="1" applyProtection="1">
      <alignment horizontal="left" vertical="top" wrapText="1"/>
      <protection locked="0"/>
    </xf>
    <xf numFmtId="0" fontId="6" fillId="2" borderId="20" xfId="1" applyFill="1" applyBorder="1" applyAlignment="1" applyProtection="1">
      <alignment horizontal="left" vertical="top" wrapText="1"/>
      <protection locked="0"/>
    </xf>
    <xf numFmtId="0" fontId="11" fillId="0" borderId="4" xfId="0" applyFont="1" applyBorder="1" applyAlignment="1" applyProtection="1">
      <alignment horizontal="left" vertical="top" wrapText="1"/>
      <protection locked="0"/>
    </xf>
    <xf numFmtId="0" fontId="5" fillId="2" borderId="4" xfId="0" applyFont="1" applyFill="1" applyBorder="1" applyAlignment="1" applyProtection="1">
      <alignment horizontal="left" vertical="top" wrapText="1"/>
      <protection locked="0"/>
    </xf>
    <xf numFmtId="0" fontId="5" fillId="2" borderId="5" xfId="0" applyFont="1" applyFill="1" applyBorder="1" applyAlignment="1" applyProtection="1">
      <alignment horizontal="left" vertical="top" wrapText="1"/>
      <protection locked="0"/>
    </xf>
    <xf numFmtId="0" fontId="5" fillId="2" borderId="17" xfId="0" applyFont="1" applyFill="1" applyBorder="1" applyAlignment="1" applyProtection="1">
      <alignment horizontal="left" vertical="top" wrapText="1"/>
      <protection locked="0"/>
    </xf>
    <xf numFmtId="0" fontId="5" fillId="2" borderId="21" xfId="0" applyFont="1" applyFill="1" applyBorder="1" applyAlignment="1" applyProtection="1">
      <alignment horizontal="left" vertical="top" wrapText="1"/>
      <protection locked="0"/>
    </xf>
    <xf numFmtId="49" fontId="2" fillId="4" borderId="0" xfId="0" applyNumberFormat="1" applyFont="1" applyFill="1" applyAlignment="1" applyProtection="1">
      <alignment vertical="top" textRotation="90"/>
      <protection locked="0"/>
    </xf>
    <xf numFmtId="0" fontId="3" fillId="2" borderId="23" xfId="0" applyFont="1" applyFill="1" applyBorder="1" applyAlignment="1" applyProtection="1">
      <alignment horizontal="left" vertical="top" wrapText="1"/>
      <protection locked="0"/>
    </xf>
    <xf numFmtId="0" fontId="5" fillId="2" borderId="19" xfId="0" applyFont="1" applyFill="1" applyBorder="1" applyAlignment="1" applyProtection="1">
      <alignment horizontal="left" vertical="top" wrapText="1"/>
      <protection locked="0"/>
    </xf>
    <xf numFmtId="0" fontId="5" fillId="2" borderId="20" xfId="0" applyFont="1" applyFill="1" applyBorder="1" applyAlignment="1" applyProtection="1">
      <alignment horizontal="left" vertical="top" wrapText="1"/>
      <protection locked="0"/>
    </xf>
    <xf numFmtId="0" fontId="3" fillId="2" borderId="18" xfId="0" applyFont="1" applyFill="1" applyBorder="1" applyAlignment="1" applyProtection="1">
      <alignment horizontal="left" vertical="top" wrapText="1"/>
      <protection locked="0"/>
    </xf>
    <xf numFmtId="0" fontId="6" fillId="2" borderId="4" xfId="1" applyFill="1" applyBorder="1" applyAlignment="1" applyProtection="1">
      <alignment horizontal="left" vertical="top" wrapText="1"/>
      <protection locked="0"/>
    </xf>
    <xf numFmtId="0" fontId="3" fillId="2" borderId="3" xfId="0" applyFont="1" applyFill="1" applyBorder="1" applyAlignment="1" applyProtection="1">
      <alignment horizontal="left" vertical="top" wrapText="1"/>
      <protection locked="0"/>
    </xf>
    <xf numFmtId="1" fontId="7" fillId="2" borderId="5" xfId="1" applyNumberFormat="1" applyFont="1" applyFill="1" applyBorder="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16" fillId="10" borderId="0" xfId="2" applyAlignment="1">
      <alignment horizontal="left" vertical="top" wrapText="1"/>
    </xf>
    <xf numFmtId="0" fontId="4" fillId="3" borderId="0" xfId="0" applyFont="1" applyFill="1" applyAlignment="1">
      <alignment horizontal="left" wrapText="1"/>
    </xf>
    <xf numFmtId="49" fontId="2" fillId="0" borderId="16" xfId="0" applyNumberFormat="1" applyFont="1" applyBorder="1" applyAlignment="1" applyProtection="1">
      <alignment vertical="top" textRotation="90"/>
      <protection locked="0"/>
    </xf>
    <xf numFmtId="0" fontId="23" fillId="4" borderId="6" xfId="0" applyFont="1" applyFill="1" applyBorder="1" applyAlignment="1">
      <alignment horizontal="left" vertical="top" wrapText="1"/>
    </xf>
    <xf numFmtId="0" fontId="13" fillId="3" borderId="17" xfId="0" applyFont="1" applyFill="1" applyBorder="1" applyAlignment="1">
      <alignment horizontal="left" wrapText="1"/>
    </xf>
    <xf numFmtId="0" fontId="9" fillId="0" borderId="17" xfId="0" applyFont="1" applyBorder="1" applyAlignment="1">
      <alignment horizontal="center" textRotation="90" wrapText="1"/>
    </xf>
    <xf numFmtId="0" fontId="9" fillId="0" borderId="17" xfId="0" applyFont="1" applyBorder="1" applyAlignment="1">
      <alignment horizontal="center" textRotation="90"/>
    </xf>
    <xf numFmtId="0" fontId="20" fillId="4" borderId="6" xfId="0" applyFont="1" applyFill="1" applyBorder="1" applyAlignment="1">
      <alignment horizontal="left" vertical="top" wrapText="1"/>
    </xf>
    <xf numFmtId="49" fontId="1" fillId="4" borderId="6" xfId="0" applyNumberFormat="1" applyFont="1" applyFill="1" applyBorder="1" applyAlignment="1">
      <alignment vertical="top" textRotation="90"/>
    </xf>
    <xf numFmtId="0" fontId="28" fillId="0" borderId="0" xfId="0" applyFont="1"/>
    <xf numFmtId="0" fontId="16" fillId="10" borderId="6" xfId="2" applyBorder="1" applyAlignment="1">
      <alignment horizontal="right" vertical="top" wrapText="1"/>
    </xf>
    <xf numFmtId="0" fontId="16" fillId="10" borderId="6" xfId="2" applyBorder="1" applyAlignment="1">
      <alignment horizontal="left" vertical="top" wrapText="1"/>
    </xf>
    <xf numFmtId="0" fontId="26" fillId="11" borderId="6" xfId="3" applyBorder="1" applyAlignment="1">
      <alignment horizontal="right" vertical="top" wrapText="1"/>
    </xf>
    <xf numFmtId="0" fontId="26" fillId="11" borderId="6" xfId="3" applyBorder="1" applyAlignment="1">
      <alignment horizontal="left" vertical="top" wrapText="1"/>
    </xf>
    <xf numFmtId="0" fontId="27" fillId="12" borderId="6" xfId="4" applyBorder="1" applyAlignment="1">
      <alignment horizontal="right" vertical="top" wrapText="1"/>
    </xf>
    <xf numFmtId="0" fontId="27" fillId="12" borderId="6" xfId="4" applyBorder="1" applyAlignment="1">
      <alignment horizontal="left" vertical="top" wrapText="1"/>
    </xf>
    <xf numFmtId="49" fontId="1" fillId="0" borderId="6" xfId="0" applyNumberFormat="1" applyFont="1" applyBorder="1" applyAlignment="1">
      <alignment vertical="top" textRotation="90"/>
    </xf>
    <xf numFmtId="1" fontId="5" fillId="2" borderId="6" xfId="0" applyNumberFormat="1" applyFont="1" applyFill="1" applyBorder="1" applyAlignment="1" applyProtection="1">
      <alignment horizontal="left" vertical="top" wrapText="1"/>
      <protection locked="0"/>
    </xf>
    <xf numFmtId="0" fontId="17" fillId="0" borderId="17" xfId="0" applyFont="1" applyBorder="1" applyAlignment="1">
      <alignment horizontal="center" textRotation="90" wrapText="1"/>
    </xf>
    <xf numFmtId="0" fontId="17" fillId="0" borderId="17" xfId="0" applyFont="1" applyBorder="1" applyAlignment="1">
      <alignment horizontal="center" textRotation="90"/>
    </xf>
    <xf numFmtId="0" fontId="21" fillId="2" borderId="6" xfId="0" applyFont="1" applyFill="1" applyBorder="1" applyAlignment="1">
      <alignment horizontal="left" vertical="top" wrapText="1"/>
    </xf>
    <xf numFmtId="0" fontId="19" fillId="0" borderId="6" xfId="0" applyFont="1" applyBorder="1" applyAlignment="1">
      <alignment horizontal="center" vertical="center"/>
    </xf>
    <xf numFmtId="0" fontId="11" fillId="0" borderId="6" xfId="0" applyFont="1" applyBorder="1" applyAlignment="1">
      <alignment horizontal="center" vertical="center"/>
    </xf>
    <xf numFmtId="0" fontId="19" fillId="0" borderId="6" xfId="0" applyFont="1" applyBorder="1"/>
    <xf numFmtId="0" fontId="29" fillId="12" borderId="6" xfId="4" applyFont="1" applyBorder="1" applyAlignment="1" applyProtection="1">
      <alignment horizontal="left" vertical="top" wrapText="1"/>
      <protection locked="0"/>
    </xf>
    <xf numFmtId="49" fontId="2" fillId="4" borderId="6" xfId="0" applyNumberFormat="1" applyFont="1" applyFill="1" applyBorder="1" applyAlignment="1">
      <alignment vertical="top" textRotation="90"/>
    </xf>
    <xf numFmtId="0" fontId="21" fillId="2" borderId="4" xfId="0" applyFont="1" applyFill="1" applyBorder="1" applyAlignment="1" applyProtection="1">
      <alignment horizontal="left" vertical="top" wrapText="1"/>
      <protection locked="0"/>
    </xf>
    <xf numFmtId="0" fontId="24" fillId="4" borderId="6" xfId="0" applyFont="1" applyFill="1" applyBorder="1" applyAlignment="1">
      <alignment vertical="top" wrapText="1"/>
    </xf>
    <xf numFmtId="0" fontId="25" fillId="4" borderId="15" xfId="0" applyFont="1" applyFill="1" applyBorder="1" applyAlignment="1">
      <alignment vertical="top" wrapText="1"/>
    </xf>
    <xf numFmtId="0" fontId="4" fillId="0" borderId="6" xfId="0" applyFont="1" applyBorder="1" applyAlignment="1">
      <alignment horizontal="center" vertical="top" textRotation="90" wrapText="1"/>
    </xf>
    <xf numFmtId="0" fontId="5" fillId="0" borderId="17" xfId="0" applyFont="1" applyBorder="1" applyAlignment="1">
      <alignment horizontal="center" textRotation="90" wrapText="1"/>
    </xf>
    <xf numFmtId="0" fontId="30" fillId="0" borderId="0" xfId="0" applyFont="1" applyAlignment="1">
      <alignment horizontal="left" vertical="top" wrapText="1"/>
    </xf>
    <xf numFmtId="0" fontId="10" fillId="0" borderId="10" xfId="0" applyFont="1" applyBorder="1" applyAlignment="1">
      <alignment horizontal="center"/>
    </xf>
    <xf numFmtId="0" fontId="10" fillId="0" borderId="0" xfId="0" applyFont="1" applyAlignment="1">
      <alignment horizontal="center"/>
    </xf>
    <xf numFmtId="0" fontId="10" fillId="0" borderId="11" xfId="0" applyFont="1" applyBorder="1" applyAlignment="1">
      <alignment horizontal="center"/>
    </xf>
    <xf numFmtId="0" fontId="9" fillId="0" borderId="10" xfId="0" applyFont="1" applyBorder="1" applyAlignment="1">
      <alignment horizontal="center"/>
    </xf>
    <xf numFmtId="0" fontId="9" fillId="0" borderId="0" xfId="0" applyFont="1" applyAlignment="1">
      <alignment horizontal="center"/>
    </xf>
    <xf numFmtId="0" fontId="0" fillId="0" borderId="0" xfId="0" applyAlignment="1">
      <alignment horizontal="center"/>
    </xf>
    <xf numFmtId="0" fontId="23" fillId="4" borderId="15" xfId="0" applyFont="1" applyFill="1" applyBorder="1" applyAlignment="1">
      <alignment horizontal="center" vertical="top" wrapText="1"/>
    </xf>
    <xf numFmtId="0" fontId="18" fillId="4" borderId="6" xfId="0" applyFont="1" applyFill="1" applyBorder="1" applyAlignment="1">
      <alignment horizontal="left" vertical="top" wrapText="1"/>
    </xf>
    <xf numFmtId="0" fontId="23" fillId="4" borderId="6" xfId="0" applyFont="1" applyFill="1" applyBorder="1" applyAlignment="1">
      <alignment horizontal="left" vertical="top" wrapText="1"/>
    </xf>
    <xf numFmtId="0" fontId="20" fillId="4" borderId="15" xfId="0" applyFont="1" applyFill="1" applyBorder="1" applyAlignment="1" applyProtection="1">
      <alignment horizontal="left" vertical="top" wrapText="1"/>
      <protection locked="0"/>
    </xf>
    <xf numFmtId="0" fontId="17" fillId="0" borderId="6" xfId="0" applyFont="1" applyBorder="1" applyAlignment="1">
      <alignment horizontal="center" vertical="top" wrapText="1"/>
    </xf>
    <xf numFmtId="0" fontId="17" fillId="0" borderId="6" xfId="0" applyFont="1" applyBorder="1" applyAlignment="1">
      <alignment horizontal="center" vertical="top"/>
    </xf>
    <xf numFmtId="0" fontId="25" fillId="4" borderId="1" xfId="0" applyFont="1" applyFill="1" applyBorder="1" applyAlignment="1">
      <alignment horizontal="left" vertical="top" wrapText="1"/>
    </xf>
    <xf numFmtId="0" fontId="25" fillId="4" borderId="2" xfId="0" applyFont="1" applyFill="1" applyBorder="1" applyAlignment="1">
      <alignment horizontal="left" vertical="top" wrapText="1"/>
    </xf>
    <xf numFmtId="0" fontId="25" fillId="4" borderId="3" xfId="0" applyFont="1" applyFill="1" applyBorder="1" applyAlignment="1">
      <alignment horizontal="left" vertical="top" wrapText="1"/>
    </xf>
    <xf numFmtId="0" fontId="18" fillId="4" borderId="4" xfId="0" applyFont="1" applyFill="1" applyBorder="1" applyAlignment="1">
      <alignment horizontal="left" vertical="top" wrapText="1"/>
    </xf>
    <xf numFmtId="0" fontId="23" fillId="4" borderId="1" xfId="0" applyFont="1" applyFill="1" applyBorder="1" applyAlignment="1">
      <alignment horizontal="center" vertical="top" wrapText="1"/>
    </xf>
    <xf numFmtId="0" fontId="23" fillId="4" borderId="2" xfId="0" applyFont="1" applyFill="1" applyBorder="1" applyAlignment="1">
      <alignment horizontal="center" vertical="top" wrapText="1"/>
    </xf>
    <xf numFmtId="0" fontId="23" fillId="4" borderId="3" xfId="0" applyFont="1" applyFill="1" applyBorder="1" applyAlignment="1">
      <alignment horizontal="center" vertical="top" wrapText="1"/>
    </xf>
    <xf numFmtId="0" fontId="17" fillId="0" borderId="1" xfId="0" applyFont="1" applyBorder="1" applyAlignment="1">
      <alignment horizontal="center" vertical="top" wrapText="1"/>
    </xf>
    <xf numFmtId="0" fontId="17" fillId="0" borderId="2" xfId="0" applyFont="1" applyBorder="1" applyAlignment="1">
      <alignment horizontal="center" vertical="top" wrapText="1"/>
    </xf>
    <xf numFmtId="0" fontId="17" fillId="0" borderId="3" xfId="0" applyFont="1" applyBorder="1" applyAlignment="1">
      <alignment horizontal="center" vertical="top" wrapText="1"/>
    </xf>
  </cellXfs>
  <cellStyles count="5">
    <cellStyle name="Bad" xfId="3" builtinId="27"/>
    <cellStyle name="Good" xfId="2" builtinId="26"/>
    <cellStyle name="Hyperlink" xfId="1" builtinId="8"/>
    <cellStyle name="Neutral" xfId="4" builtinId="28"/>
    <cellStyle name="Normal" xfId="0" builtinId="0"/>
  </cellStyles>
  <dxfs count="698">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G21"/>
  <sheetViews>
    <sheetView workbookViewId="0"/>
  </sheetViews>
  <sheetFormatPr defaultColWidth="0" defaultRowHeight="14.4" zeroHeight="1" x14ac:dyDescent="0.3"/>
  <cols>
    <col min="1" max="7" width="11.33203125" customWidth="1"/>
    <col min="8" max="16384" width="8.88671875" hidden="1"/>
  </cols>
  <sheetData>
    <row r="1" spans="1:7" x14ac:dyDescent="0.3">
      <c r="A1" s="2"/>
      <c r="B1" s="3"/>
      <c r="C1" s="3"/>
      <c r="D1" s="3"/>
      <c r="E1" s="3"/>
      <c r="F1" s="3"/>
      <c r="G1" s="4"/>
    </row>
    <row r="2" spans="1:7" x14ac:dyDescent="0.3">
      <c r="A2" s="141" t="s">
        <v>69</v>
      </c>
      <c r="B2" s="142"/>
      <c r="C2" s="142"/>
      <c r="D2" s="142"/>
      <c r="E2" s="142"/>
      <c r="F2" s="142"/>
      <c r="G2" s="143"/>
    </row>
    <row r="3" spans="1:7" x14ac:dyDescent="0.3">
      <c r="A3" s="141"/>
      <c r="B3" s="142"/>
      <c r="C3" s="142"/>
      <c r="D3" s="142"/>
      <c r="E3" s="142"/>
      <c r="F3" s="142"/>
      <c r="G3" s="143"/>
    </row>
    <row r="4" spans="1:7" x14ac:dyDescent="0.3">
      <c r="A4" s="5"/>
      <c r="G4" s="6"/>
    </row>
    <row r="5" spans="1:7" x14ac:dyDescent="0.3">
      <c r="A5" s="5"/>
      <c r="G5" s="6"/>
    </row>
    <row r="6" spans="1:7" x14ac:dyDescent="0.3">
      <c r="A6" s="144" t="s">
        <v>70</v>
      </c>
      <c r="B6" s="145"/>
      <c r="C6" s="146"/>
      <c r="D6" s="146"/>
      <c r="E6" s="146"/>
      <c r="F6" s="146"/>
      <c r="G6" s="6"/>
    </row>
    <row r="7" spans="1:7" x14ac:dyDescent="0.3">
      <c r="A7" s="5"/>
      <c r="G7" s="6"/>
    </row>
    <row r="8" spans="1:7" x14ac:dyDescent="0.3">
      <c r="A8" s="144" t="s">
        <v>71</v>
      </c>
      <c r="B8" s="145"/>
      <c r="C8" s="146"/>
      <c r="D8" s="146"/>
      <c r="E8" s="146"/>
      <c r="F8" s="146"/>
      <c r="G8" s="41"/>
    </row>
    <row r="9" spans="1:7" x14ac:dyDescent="0.3">
      <c r="A9" s="5"/>
      <c r="G9" s="6"/>
    </row>
    <row r="10" spans="1:7" x14ac:dyDescent="0.3">
      <c r="A10" s="144" t="s">
        <v>72</v>
      </c>
      <c r="B10" s="145"/>
      <c r="C10" s="146"/>
      <c r="D10" s="146"/>
      <c r="E10" s="146"/>
      <c r="F10" s="146"/>
      <c r="G10" s="6"/>
    </row>
    <row r="11" spans="1:7" x14ac:dyDescent="0.3">
      <c r="A11" s="5"/>
      <c r="G11" s="6"/>
    </row>
    <row r="12" spans="1:7" x14ac:dyDescent="0.3">
      <c r="A12" s="144" t="s">
        <v>123</v>
      </c>
      <c r="B12" s="145"/>
      <c r="C12" t="s">
        <v>124</v>
      </c>
      <c r="G12" s="6"/>
    </row>
    <row r="13" spans="1:7" x14ac:dyDescent="0.3">
      <c r="A13" s="5"/>
      <c r="G13" s="6"/>
    </row>
    <row r="14" spans="1:7" x14ac:dyDescent="0.3">
      <c r="A14" s="5"/>
      <c r="G14" s="6"/>
    </row>
    <row r="15" spans="1:7" x14ac:dyDescent="0.3">
      <c r="A15" s="5"/>
      <c r="G15" s="6"/>
    </row>
    <row r="16" spans="1:7" x14ac:dyDescent="0.3">
      <c r="A16" s="5"/>
      <c r="G16" s="6"/>
    </row>
    <row r="17" spans="1:7" x14ac:dyDescent="0.3">
      <c r="A17" s="5"/>
      <c r="G17" s="6"/>
    </row>
    <row r="18" spans="1:7" x14ac:dyDescent="0.3">
      <c r="A18" s="5"/>
      <c r="G18" s="6"/>
    </row>
    <row r="19" spans="1:7" x14ac:dyDescent="0.3">
      <c r="A19" s="5"/>
      <c r="G19" s="6"/>
    </row>
    <row r="20" spans="1:7" ht="15" thickBot="1" x14ac:dyDescent="0.35">
      <c r="A20" s="7"/>
      <c r="B20" s="8"/>
      <c r="C20" s="8"/>
      <c r="D20" s="8"/>
      <c r="E20" s="8"/>
      <c r="F20" s="8"/>
      <c r="G20" s="9"/>
    </row>
    <row r="21" spans="1:7" x14ac:dyDescent="0.3"/>
  </sheetData>
  <mergeCells count="8">
    <mergeCell ref="A2:G3"/>
    <mergeCell ref="A6:B6"/>
    <mergeCell ref="A8:B8"/>
    <mergeCell ref="A12:B12"/>
    <mergeCell ref="C6:F6"/>
    <mergeCell ref="C8:F8"/>
    <mergeCell ref="C10:F10"/>
    <mergeCell ref="A10:B10"/>
  </mergeCells>
  <dataValidations count="1">
    <dataValidation type="list" allowBlank="1" showInputMessage="1" showErrorMessage="1" sqref="C12" xr:uid="{F59CD2E5-ECEE-4A0E-AFB4-890CB52F7CAD}">
      <formula1>"Pre-audit,Initial Certification, Surveillance 1, Surveillance 2, Recertification"</formula1>
    </dataValidation>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EA6F-547B-4455-AB5B-F6C84D0F8E15}">
  <sheetPr>
    <tabColor theme="1"/>
  </sheetPr>
  <dimension ref="A1:C31"/>
  <sheetViews>
    <sheetView topLeftCell="A19" workbookViewId="0">
      <selection activeCell="A32" sqref="A32:XFD1048576"/>
    </sheetView>
  </sheetViews>
  <sheetFormatPr defaultColWidth="0" defaultRowHeight="14.4" zeroHeight="1" x14ac:dyDescent="0.3"/>
  <cols>
    <col min="1" max="1" width="19.88671875" style="18" bestFit="1" customWidth="1"/>
    <col min="2" max="2" width="46.6640625" style="18" bestFit="1" customWidth="1"/>
    <col min="3" max="3" width="79" style="18" bestFit="1" customWidth="1"/>
    <col min="4" max="16384" width="5.88671875" style="18" hidden="1"/>
  </cols>
  <sheetData>
    <row r="1" spans="1:3" x14ac:dyDescent="0.3">
      <c r="C1" s="51" t="s">
        <v>95</v>
      </c>
    </row>
    <row r="2" spans="1:3" x14ac:dyDescent="0.3">
      <c r="A2" s="18" t="s">
        <v>87</v>
      </c>
      <c r="B2" s="42" t="s">
        <v>88</v>
      </c>
      <c r="C2" s="18" t="s">
        <v>91</v>
      </c>
    </row>
    <row r="3" spans="1:3" x14ac:dyDescent="0.3">
      <c r="A3" s="18" t="s">
        <v>89</v>
      </c>
      <c r="B3" s="43" t="s">
        <v>90</v>
      </c>
      <c r="C3" s="18" t="s">
        <v>92</v>
      </c>
    </row>
    <row r="4" spans="1:3" x14ac:dyDescent="0.3"/>
    <row r="5" spans="1:3" x14ac:dyDescent="0.3">
      <c r="B5" s="39" t="s">
        <v>121</v>
      </c>
      <c r="C5" s="40" t="s">
        <v>122</v>
      </c>
    </row>
    <row r="6" spans="1:3" x14ac:dyDescent="0.3"/>
    <row r="7" spans="1:3" x14ac:dyDescent="0.3">
      <c r="A7" s="18" t="s">
        <v>93</v>
      </c>
      <c r="B7" s="18" t="s">
        <v>94</v>
      </c>
      <c r="C7" s="18" t="s">
        <v>96</v>
      </c>
    </row>
    <row r="8" spans="1:3" x14ac:dyDescent="0.3">
      <c r="C8" s="18" t="s">
        <v>97</v>
      </c>
    </row>
    <row r="9" spans="1:3" ht="43.2" x14ac:dyDescent="0.3">
      <c r="B9" s="34" t="s">
        <v>100</v>
      </c>
      <c r="C9" s="35" t="s">
        <v>101</v>
      </c>
    </row>
    <row r="10" spans="1:3" x14ac:dyDescent="0.3"/>
    <row r="11" spans="1:3" x14ac:dyDescent="0.3">
      <c r="A11" s="18" t="s">
        <v>93</v>
      </c>
      <c r="B11" s="18" t="s">
        <v>98</v>
      </c>
      <c r="C11" s="18" t="s">
        <v>99</v>
      </c>
    </row>
    <row r="12" spans="1:3" ht="43.2" x14ac:dyDescent="0.3">
      <c r="B12" s="34" t="s">
        <v>100</v>
      </c>
      <c r="C12" s="35" t="s">
        <v>79</v>
      </c>
    </row>
    <row r="13" spans="1:3" x14ac:dyDescent="0.3"/>
    <row r="14" spans="1:3" x14ac:dyDescent="0.3">
      <c r="A14" s="18" t="s">
        <v>93</v>
      </c>
      <c r="B14" s="18" t="s">
        <v>102</v>
      </c>
      <c r="C14" s="18" t="s">
        <v>103</v>
      </c>
    </row>
    <row r="15" spans="1:3" x14ac:dyDescent="0.3"/>
    <row r="16" spans="1:3" x14ac:dyDescent="0.3">
      <c r="A16" s="18" t="s">
        <v>93</v>
      </c>
      <c r="B16" s="18" t="s">
        <v>105</v>
      </c>
      <c r="C16" s="51" t="s">
        <v>113</v>
      </c>
    </row>
    <row r="17" spans="1:3" x14ac:dyDescent="0.3">
      <c r="C17" s="51" t="s">
        <v>114</v>
      </c>
    </row>
    <row r="18" spans="1:3" x14ac:dyDescent="0.3">
      <c r="C18" s="18" t="s">
        <v>162</v>
      </c>
    </row>
    <row r="19" spans="1:3" x14ac:dyDescent="0.3">
      <c r="C19" s="33" t="s">
        <v>106</v>
      </c>
    </row>
    <row r="20" spans="1:3" x14ac:dyDescent="0.3">
      <c r="C20" s="34" t="s">
        <v>107</v>
      </c>
    </row>
    <row r="21" spans="1:3" x14ac:dyDescent="0.3">
      <c r="C21" s="36" t="s">
        <v>109</v>
      </c>
    </row>
    <row r="22" spans="1:3" x14ac:dyDescent="0.3">
      <c r="C22" s="37" t="s">
        <v>108</v>
      </c>
    </row>
    <row r="23" spans="1:3" x14ac:dyDescent="0.3"/>
    <row r="24" spans="1:3" x14ac:dyDescent="0.3">
      <c r="C24" s="18" t="s">
        <v>115</v>
      </c>
    </row>
    <row r="25" spans="1:3" x14ac:dyDescent="0.3"/>
    <row r="26" spans="1:3" x14ac:dyDescent="0.3">
      <c r="A26" s="18" t="s">
        <v>93</v>
      </c>
      <c r="B26" s="18" t="s">
        <v>110</v>
      </c>
      <c r="C26" s="18" t="s">
        <v>111</v>
      </c>
    </row>
    <row r="27" spans="1:3" x14ac:dyDescent="0.3"/>
    <row r="28" spans="1:3" x14ac:dyDescent="0.3">
      <c r="A28" s="18" t="s">
        <v>93</v>
      </c>
      <c r="B28" s="18" t="s">
        <v>112</v>
      </c>
      <c r="C28" s="18" t="s">
        <v>116</v>
      </c>
    </row>
    <row r="29" spans="1:3" x14ac:dyDescent="0.3"/>
    <row r="30" spans="1:3" x14ac:dyDescent="0.3">
      <c r="A30" s="18" t="s">
        <v>117</v>
      </c>
      <c r="B30" s="18" t="s">
        <v>118</v>
      </c>
    </row>
    <row r="31" spans="1:3"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7316A-4104-46ED-9950-B1BB4AF6AC87}">
  <sheetPr>
    <tabColor theme="1"/>
  </sheetPr>
  <dimension ref="A1:C21"/>
  <sheetViews>
    <sheetView workbookViewId="0">
      <selection activeCell="B8" sqref="B8"/>
    </sheetView>
  </sheetViews>
  <sheetFormatPr defaultColWidth="0" defaultRowHeight="14.4" zeroHeight="1" x14ac:dyDescent="0.3"/>
  <cols>
    <col min="1" max="1" width="35.33203125" bestFit="1" customWidth="1"/>
    <col min="2" max="2" width="27.6640625" customWidth="1"/>
    <col min="3" max="3" width="23.44140625" customWidth="1"/>
    <col min="4" max="16384" width="8.88671875" hidden="1"/>
  </cols>
  <sheetData>
    <row r="1" spans="1:3" s="46" customFormat="1" x14ac:dyDescent="0.3">
      <c r="A1" s="46" t="s">
        <v>128</v>
      </c>
      <c r="B1" s="46" t="s">
        <v>129</v>
      </c>
      <c r="C1" s="46" t="s">
        <v>130</v>
      </c>
    </row>
    <row r="2" spans="1:3" x14ac:dyDescent="0.3">
      <c r="A2" t="s">
        <v>133</v>
      </c>
      <c r="B2" s="48" t="s">
        <v>134</v>
      </c>
    </row>
    <row r="3" spans="1:3" x14ac:dyDescent="0.3">
      <c r="A3" t="s">
        <v>131</v>
      </c>
      <c r="B3" s="49">
        <f ca="1">NOW()</f>
        <v>45946.419792708337</v>
      </c>
      <c r="C3" t="s">
        <v>139</v>
      </c>
    </row>
    <row r="4" spans="1:3" x14ac:dyDescent="0.3">
      <c r="A4" t="s">
        <v>132</v>
      </c>
      <c r="B4" s="49">
        <f ca="1">NOW()</f>
        <v>45946.419792708337</v>
      </c>
      <c r="C4" t="s">
        <v>139</v>
      </c>
    </row>
    <row r="5" spans="1:3" x14ac:dyDescent="0.3">
      <c r="B5" s="47"/>
    </row>
    <row r="6" spans="1:3" x14ac:dyDescent="0.3"/>
    <row r="7" spans="1:3" x14ac:dyDescent="0.3">
      <c r="A7" s="46" t="s">
        <v>152</v>
      </c>
    </row>
    <row r="8" spans="1:3" x14ac:dyDescent="0.3">
      <c r="A8" t="s">
        <v>153</v>
      </c>
      <c r="B8" t="s">
        <v>86</v>
      </c>
    </row>
    <row r="9" spans="1:3" x14ac:dyDescent="0.3">
      <c r="A9" t="s">
        <v>154</v>
      </c>
      <c r="B9" t="s">
        <v>86</v>
      </c>
    </row>
    <row r="10" spans="1:3" x14ac:dyDescent="0.3"/>
    <row r="11" spans="1:3" x14ac:dyDescent="0.3">
      <c r="A11" s="46" t="s">
        <v>163</v>
      </c>
    </row>
    <row r="12" spans="1:3" x14ac:dyDescent="0.3">
      <c r="A12" t="s">
        <v>140</v>
      </c>
      <c r="B12" s="49">
        <f ca="1">NOW()</f>
        <v>45946.419792708337</v>
      </c>
      <c r="C12" t="s">
        <v>139</v>
      </c>
    </row>
    <row r="13" spans="1:3" x14ac:dyDescent="0.3">
      <c r="A13" t="s">
        <v>142</v>
      </c>
      <c r="B13" s="48" t="s">
        <v>143</v>
      </c>
    </row>
    <row r="14" spans="1:3" x14ac:dyDescent="0.3">
      <c r="A14" t="s">
        <v>141</v>
      </c>
      <c r="B14" s="48" t="s">
        <v>155</v>
      </c>
      <c r="C14" t="s">
        <v>144</v>
      </c>
    </row>
    <row r="15" spans="1:3" x14ac:dyDescent="0.3"/>
    <row r="16" spans="1:3" x14ac:dyDescent="0.3">
      <c r="A16" s="46" t="s">
        <v>164</v>
      </c>
    </row>
    <row r="17" spans="1:3" x14ac:dyDescent="0.3">
      <c r="A17" t="s">
        <v>145</v>
      </c>
      <c r="B17" s="49">
        <f ca="1">NOW()</f>
        <v>45946.419792708337</v>
      </c>
      <c r="C17" t="s">
        <v>139</v>
      </c>
    </row>
    <row r="18" spans="1:3" x14ac:dyDescent="0.3">
      <c r="A18" t="s">
        <v>149</v>
      </c>
      <c r="B18" s="49">
        <f ca="1">NOW()</f>
        <v>45946.419792708337</v>
      </c>
      <c r="C18" t="s">
        <v>139</v>
      </c>
    </row>
    <row r="19" spans="1:3" x14ac:dyDescent="0.3">
      <c r="A19" t="s">
        <v>150</v>
      </c>
      <c r="B19" s="49">
        <f ca="1">NOW()</f>
        <v>45946.419792708337</v>
      </c>
      <c r="C19" t="s">
        <v>139</v>
      </c>
    </row>
    <row r="20" spans="1:3" x14ac:dyDescent="0.3">
      <c r="A20" t="s">
        <v>151</v>
      </c>
      <c r="B20" s="49">
        <f ca="1">NOW()</f>
        <v>45946.419792708337</v>
      </c>
      <c r="C20" t="s">
        <v>139</v>
      </c>
    </row>
    <row r="21" spans="1:3" x14ac:dyDescent="0.3"/>
  </sheetData>
  <conditionalFormatting sqref="B8:B9">
    <cfRule type="cellIs" dxfId="697" priority="1" operator="equal">
      <formula>"No"</formula>
    </cfRule>
    <cfRule type="cellIs" dxfId="696" priority="2" operator="equal">
      <formula>"Yes"</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EF21DA3-60F0-45E4-9401-5CBCC6CAE8FA}">
          <x14:formula1>
            <xm:f>'Lookup Tables'!$A$1:$A$6</xm:f>
          </x14:formula1>
          <xm:sqref>B2</xm:sqref>
        </x14:dataValidation>
        <x14:dataValidation type="list" allowBlank="1" showInputMessage="1" showErrorMessage="1" xr:uid="{F047BB0B-A3D1-4B9F-B705-4DE495E1B062}">
          <x14:formula1>
            <xm:f>'Lookup Tables'!$B$2:$B$3</xm:f>
          </x14:formula1>
          <xm:sqref>B8:B9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D25D-C7F4-4EC0-AC59-BBCDB6AE8DB7}">
  <sheetPr>
    <tabColor theme="1"/>
  </sheetPr>
  <dimension ref="A1:G16"/>
  <sheetViews>
    <sheetView workbookViewId="0">
      <selection activeCell="A10" sqref="A10"/>
    </sheetView>
  </sheetViews>
  <sheetFormatPr defaultColWidth="0" defaultRowHeight="15" zeroHeight="1" x14ac:dyDescent="0.25"/>
  <cols>
    <col min="1" max="1" width="18.44140625" style="38" bestFit="1" customWidth="1"/>
    <col min="2" max="2" width="5.88671875" style="38" bestFit="1" customWidth="1"/>
    <col min="3" max="3" width="6.6640625" style="38" bestFit="1" customWidth="1"/>
    <col min="4" max="7" width="0" style="38" hidden="1" customWidth="1"/>
    <col min="8" max="16384" width="8.88671875" style="38" hidden="1"/>
  </cols>
  <sheetData>
    <row r="1" spans="1:3" x14ac:dyDescent="0.25">
      <c r="A1" s="38" t="s">
        <v>119</v>
      </c>
      <c r="B1" s="24" t="s">
        <v>83</v>
      </c>
      <c r="C1" s="21" t="s">
        <v>84</v>
      </c>
    </row>
    <row r="2" spans="1:3" x14ac:dyDescent="0.25">
      <c r="A2" s="38">
        <f>SUM(C2:C7)</f>
        <v>55</v>
      </c>
      <c r="B2" s="24"/>
      <c r="C2" s="21">
        <f>'Checklist Mgmt Clauses'!H96</f>
        <v>0</v>
      </c>
    </row>
    <row r="3" spans="1:3" x14ac:dyDescent="0.25">
      <c r="B3" s="24" t="s">
        <v>160</v>
      </c>
      <c r="C3" s="21">
        <f>'Checklist Mgmt Clauses'!H97</f>
        <v>1</v>
      </c>
    </row>
    <row r="4" spans="1:3" x14ac:dyDescent="0.25">
      <c r="B4" s="25" t="s">
        <v>77</v>
      </c>
      <c r="C4" s="26">
        <f>'Checklist Mgmt Clauses'!H98</f>
        <v>49</v>
      </c>
    </row>
    <row r="5" spans="1:3" x14ac:dyDescent="0.25">
      <c r="B5" s="27" t="s">
        <v>78</v>
      </c>
      <c r="C5" s="28">
        <f>'Checklist Mgmt Clauses'!H99</f>
        <v>1</v>
      </c>
    </row>
    <row r="6" spans="1:3" x14ac:dyDescent="0.25">
      <c r="B6" s="29" t="s">
        <v>82</v>
      </c>
      <c r="C6" s="30">
        <f>'Checklist Mgmt Clauses'!H100</f>
        <v>2</v>
      </c>
    </row>
    <row r="7" spans="1:3" x14ac:dyDescent="0.25">
      <c r="B7" s="31" t="s">
        <v>81</v>
      </c>
      <c r="C7" s="32">
        <f>'Checklist Mgmt Clauses'!H101</f>
        <v>2</v>
      </c>
    </row>
    <row r="8" spans="1:3" x14ac:dyDescent="0.25"/>
    <row r="9" spans="1:3" x14ac:dyDescent="0.25">
      <c r="A9" s="38" t="s">
        <v>120</v>
      </c>
      <c r="B9" s="24" t="s">
        <v>83</v>
      </c>
      <c r="C9" s="21" t="s">
        <v>84</v>
      </c>
    </row>
    <row r="10" spans="1:3" x14ac:dyDescent="0.25">
      <c r="A10" s="38">
        <f>SUM(C10:C15)</f>
        <v>93</v>
      </c>
      <c r="B10" s="24"/>
      <c r="C10" s="21">
        <f>'Checklist Annex Controls'!I195</f>
        <v>0</v>
      </c>
    </row>
    <row r="11" spans="1:3" x14ac:dyDescent="0.25">
      <c r="B11" s="24" t="s">
        <v>160</v>
      </c>
      <c r="C11" s="21">
        <f>'Checklist Annex Controls'!I196</f>
        <v>88</v>
      </c>
    </row>
    <row r="12" spans="1:3" x14ac:dyDescent="0.25">
      <c r="B12" s="25" t="s">
        <v>77</v>
      </c>
      <c r="C12" s="26">
        <f>'Checklist Annex Controls'!I197</f>
        <v>1</v>
      </c>
    </row>
    <row r="13" spans="1:3" x14ac:dyDescent="0.25">
      <c r="B13" s="27" t="s">
        <v>78</v>
      </c>
      <c r="C13" s="28">
        <f>'Checklist Annex Controls'!I198</f>
        <v>1</v>
      </c>
    </row>
    <row r="14" spans="1:3" x14ac:dyDescent="0.25">
      <c r="B14" s="29" t="s">
        <v>82</v>
      </c>
      <c r="C14" s="30">
        <f>'Checklist Annex Controls'!I199</f>
        <v>1</v>
      </c>
    </row>
    <row r="15" spans="1:3" x14ac:dyDescent="0.25">
      <c r="B15" s="31" t="s">
        <v>81</v>
      </c>
      <c r="C15" s="32">
        <f>'Checklist Annex Controls'!I200</f>
        <v>2</v>
      </c>
    </row>
    <row r="16" spans="1:3" x14ac:dyDescent="0.25"/>
  </sheetData>
  <conditionalFormatting sqref="C1:C7">
    <cfRule type="cellIs" dxfId="695" priority="5" operator="equal">
      <formula>"OFI"</formula>
    </cfRule>
    <cfRule type="cellIs" dxfId="694" priority="6" operator="equal">
      <formula>"OK"</formula>
    </cfRule>
    <cfRule type="cellIs" dxfId="693" priority="7" operator="equal">
      <formula>"nc-"</formula>
    </cfRule>
    <cfRule type="cellIs" dxfId="692" priority="8" operator="equal">
      <formula>"NC+"</formula>
    </cfRule>
  </conditionalFormatting>
  <conditionalFormatting sqref="C9:C15">
    <cfRule type="cellIs" dxfId="691" priority="1" operator="equal">
      <formula>"OFI"</formula>
    </cfRule>
    <cfRule type="cellIs" dxfId="690" priority="2" operator="equal">
      <formula>"OK"</formula>
    </cfRule>
    <cfRule type="cellIs" dxfId="689" priority="3" operator="equal">
      <formula>"nc-"</formula>
    </cfRule>
    <cfRule type="cellIs" dxfId="688" priority="4" operator="equal">
      <formula>"NC+"</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2849-968E-46BE-A8E4-197835A0898C}">
  <sheetPr>
    <tabColor rgb="FF0070C0"/>
    <pageSetUpPr fitToPage="1"/>
  </sheetPr>
  <dimension ref="A1:U102"/>
  <sheetViews>
    <sheetView tabSelected="1" zoomScale="70" zoomScaleNormal="70" workbookViewId="0">
      <pane xSplit="2" ySplit="2" topLeftCell="C3" activePane="bottomRight" state="frozenSplit"/>
      <selection pane="topRight" activeCell="B1" sqref="B1"/>
      <selection pane="bottomLeft" activeCell="A3" sqref="A3"/>
      <selection pane="bottomRight" activeCell="I10" sqref="I10"/>
    </sheetView>
  </sheetViews>
  <sheetFormatPr defaultColWidth="0" defaultRowHeight="15" zeroHeight="1" x14ac:dyDescent="0.3"/>
  <cols>
    <col min="1" max="1" width="3.5546875" bestFit="1" customWidth="1"/>
    <col min="2" max="2" width="77.44140625" style="18" bestFit="1" customWidth="1"/>
    <col min="3" max="3" width="19.109375" style="18" bestFit="1" customWidth="1"/>
    <col min="4" max="4" width="29.6640625" style="18" bestFit="1" customWidth="1"/>
    <col min="5" max="5" width="13" style="18" bestFit="1" customWidth="1"/>
    <col min="6" max="6" width="31" style="18" customWidth="1"/>
    <col min="7" max="7" width="35.33203125" style="18" bestFit="1" customWidth="1"/>
    <col min="8" max="8" width="39" style="22" bestFit="1" customWidth="1"/>
    <col min="9" max="9" width="14.109375" style="22" bestFit="1" customWidth="1"/>
    <col min="10" max="10" width="10" style="1" bestFit="1" customWidth="1"/>
    <col min="11" max="20" width="11.109375" style="1" bestFit="1" customWidth="1"/>
    <col min="21" max="21" width="9.6640625" style="1" bestFit="1" customWidth="1"/>
    <col min="22" max="16384" width="12.6640625" hidden="1"/>
  </cols>
  <sheetData>
    <row r="1" spans="1:21" ht="69.599999999999994" x14ac:dyDescent="0.3">
      <c r="A1" s="50" t="s">
        <v>0</v>
      </c>
      <c r="B1" s="54" t="s">
        <v>717</v>
      </c>
      <c r="C1" s="10" t="s">
        <v>277</v>
      </c>
      <c r="D1" s="10" t="s">
        <v>271</v>
      </c>
      <c r="E1" s="10" t="s">
        <v>127</v>
      </c>
      <c r="F1" s="10" t="s">
        <v>279</v>
      </c>
      <c r="G1" s="10" t="s">
        <v>711</v>
      </c>
      <c r="H1" s="23" t="s">
        <v>104</v>
      </c>
      <c r="I1" s="23" t="s">
        <v>712</v>
      </c>
      <c r="J1" s="151" t="s">
        <v>85</v>
      </c>
      <c r="K1" s="152"/>
      <c r="L1" s="152"/>
      <c r="M1" s="152"/>
      <c r="N1" s="152"/>
      <c r="O1" s="152"/>
      <c r="P1" s="152"/>
      <c r="Q1" s="152"/>
      <c r="R1" s="152"/>
      <c r="S1" s="152"/>
      <c r="T1" s="152"/>
      <c r="U1" s="138" t="s">
        <v>65</v>
      </c>
    </row>
    <row r="2" spans="1:21" ht="105.6" x14ac:dyDescent="0.3">
      <c r="A2" s="19"/>
      <c r="B2" s="54" t="s">
        <v>718</v>
      </c>
      <c r="C2" s="109" t="s">
        <v>704</v>
      </c>
      <c r="D2" s="20" t="s">
        <v>705</v>
      </c>
      <c r="E2" s="20" t="s">
        <v>157</v>
      </c>
      <c r="F2" s="20" t="s">
        <v>158</v>
      </c>
      <c r="G2" s="20" t="s">
        <v>159</v>
      </c>
      <c r="H2" s="55" t="s">
        <v>161</v>
      </c>
      <c r="I2" s="55" t="s">
        <v>156</v>
      </c>
      <c r="J2" s="114" t="s">
        <v>73</v>
      </c>
      <c r="K2" s="115" t="s">
        <v>67</v>
      </c>
      <c r="L2" s="115" t="s">
        <v>74</v>
      </c>
      <c r="M2" s="115" t="s">
        <v>68</v>
      </c>
      <c r="N2" s="115" t="s">
        <v>472</v>
      </c>
      <c r="O2" s="115" t="s">
        <v>165</v>
      </c>
      <c r="P2" s="115" t="s">
        <v>166</v>
      </c>
      <c r="Q2" s="115" t="s">
        <v>698</v>
      </c>
      <c r="R2" s="115" t="s">
        <v>701</v>
      </c>
      <c r="S2" s="115" t="s">
        <v>697</v>
      </c>
      <c r="T2" s="115" t="s">
        <v>75</v>
      </c>
      <c r="U2" s="56" t="s">
        <v>715</v>
      </c>
    </row>
    <row r="3" spans="1:21" ht="19.2" x14ac:dyDescent="0.3">
      <c r="A3" s="134" t="s">
        <v>167</v>
      </c>
      <c r="B3" s="149" t="s">
        <v>1</v>
      </c>
      <c r="C3" s="149"/>
      <c r="D3" s="149"/>
      <c r="E3" s="149"/>
      <c r="F3" s="149"/>
      <c r="G3" s="149"/>
      <c r="H3" s="149"/>
      <c r="I3" s="149"/>
      <c r="J3" s="149"/>
      <c r="K3" s="149"/>
      <c r="L3" s="149"/>
      <c r="M3" s="149"/>
      <c r="N3" s="149"/>
      <c r="O3" s="149"/>
      <c r="P3" s="149"/>
      <c r="Q3" s="149"/>
      <c r="R3" s="149"/>
      <c r="S3" s="149"/>
      <c r="T3" s="149"/>
      <c r="U3" s="149"/>
    </row>
    <row r="4" spans="1:21" ht="25.8" x14ac:dyDescent="0.3">
      <c r="A4" s="59" t="s">
        <v>168</v>
      </c>
      <c r="B4" s="153" t="s">
        <v>2</v>
      </c>
      <c r="C4" s="154"/>
      <c r="D4" s="154"/>
      <c r="E4" s="154"/>
      <c r="F4" s="154"/>
      <c r="G4" s="154"/>
      <c r="H4" s="154"/>
      <c r="I4" s="154"/>
      <c r="J4" s="154"/>
      <c r="K4" s="154"/>
      <c r="L4" s="154"/>
      <c r="M4" s="154"/>
      <c r="N4" s="154"/>
      <c r="O4" s="154"/>
      <c r="P4" s="154"/>
      <c r="Q4" s="154"/>
      <c r="R4" s="154"/>
      <c r="S4" s="154"/>
      <c r="T4" s="154"/>
      <c r="U4" s="155"/>
    </row>
    <row r="5" spans="1:21" ht="39.6" x14ac:dyDescent="0.3">
      <c r="A5" s="74" t="s">
        <v>169</v>
      </c>
      <c r="B5" s="75" t="s">
        <v>251</v>
      </c>
      <c r="C5" s="135" t="s">
        <v>278</v>
      </c>
      <c r="D5" s="76" t="s">
        <v>274</v>
      </c>
      <c r="E5" s="77" t="s">
        <v>707</v>
      </c>
      <c r="F5" s="77" t="s">
        <v>708</v>
      </c>
      <c r="G5" s="77" t="s">
        <v>709</v>
      </c>
      <c r="H5" s="79" t="s">
        <v>160</v>
      </c>
      <c r="I5" s="84" t="s">
        <v>710</v>
      </c>
      <c r="J5" s="80" t="s">
        <v>66</v>
      </c>
      <c r="K5" s="80" t="s">
        <v>66</v>
      </c>
      <c r="L5" s="80"/>
      <c r="M5" s="80"/>
      <c r="N5" s="80"/>
      <c r="O5" s="80"/>
      <c r="P5" s="80"/>
      <c r="Q5" s="80"/>
      <c r="R5" s="80"/>
      <c r="S5" s="80"/>
      <c r="T5" s="80"/>
      <c r="U5" s="80" t="s">
        <v>86</v>
      </c>
    </row>
    <row r="6" spans="1:21" ht="31.2" customHeight="1" x14ac:dyDescent="0.3">
      <c r="A6" s="61" t="s">
        <v>170</v>
      </c>
      <c r="B6" s="136" t="s">
        <v>3</v>
      </c>
      <c r="C6" s="136"/>
      <c r="D6" s="136"/>
      <c r="E6" s="136"/>
      <c r="F6" s="136"/>
      <c r="G6" s="136"/>
      <c r="H6" s="136"/>
      <c r="I6" s="136"/>
      <c r="J6" s="136"/>
      <c r="K6" s="136"/>
      <c r="L6" s="136"/>
      <c r="M6" s="136"/>
      <c r="N6" s="136"/>
      <c r="O6" s="136"/>
      <c r="P6" s="136"/>
      <c r="Q6" s="136"/>
      <c r="R6" s="136"/>
      <c r="S6" s="136"/>
      <c r="T6" s="136"/>
      <c r="U6" s="136"/>
    </row>
    <row r="7" spans="1:21" ht="52.8" x14ac:dyDescent="0.3">
      <c r="A7" s="74" t="s">
        <v>171</v>
      </c>
      <c r="B7" s="75" t="s">
        <v>252</v>
      </c>
      <c r="C7" s="135" t="s">
        <v>278</v>
      </c>
      <c r="D7" s="76" t="s">
        <v>706</v>
      </c>
      <c r="E7" s="77" t="s">
        <v>707</v>
      </c>
      <c r="F7" s="77" t="s">
        <v>708</v>
      </c>
      <c r="G7" s="77" t="s">
        <v>709</v>
      </c>
      <c r="H7" s="79" t="s">
        <v>77</v>
      </c>
      <c r="I7" s="84" t="s">
        <v>710</v>
      </c>
      <c r="J7" s="80" t="s">
        <v>66</v>
      </c>
      <c r="K7" s="80" t="s">
        <v>66</v>
      </c>
      <c r="L7" s="80"/>
      <c r="M7" s="80"/>
      <c r="N7" s="80"/>
      <c r="O7" s="80"/>
      <c r="P7" s="80"/>
      <c r="Q7" s="80"/>
      <c r="R7" s="80"/>
      <c r="S7" s="80"/>
      <c r="T7" s="80"/>
      <c r="U7" s="80" t="s">
        <v>86</v>
      </c>
    </row>
    <row r="8" spans="1:21" ht="31.2" customHeight="1" x14ac:dyDescent="0.3">
      <c r="A8" s="62" t="s">
        <v>172</v>
      </c>
      <c r="B8" s="137" t="s">
        <v>4</v>
      </c>
      <c r="C8" s="137"/>
      <c r="D8" s="137"/>
      <c r="E8" s="137"/>
      <c r="F8" s="137"/>
      <c r="G8" s="137"/>
      <c r="H8" s="137"/>
      <c r="I8" s="137"/>
      <c r="J8" s="137"/>
      <c r="K8" s="137"/>
      <c r="L8" s="137"/>
      <c r="M8" s="137"/>
      <c r="N8" s="137"/>
      <c r="O8" s="137"/>
      <c r="P8" s="137"/>
      <c r="Q8" s="137"/>
      <c r="R8" s="137"/>
      <c r="S8" s="137"/>
      <c r="T8" s="137"/>
      <c r="U8" s="137"/>
    </row>
    <row r="9" spans="1:21" ht="26.4" x14ac:dyDescent="0.3">
      <c r="A9" s="74" t="s">
        <v>173</v>
      </c>
      <c r="B9" s="81" t="s">
        <v>253</v>
      </c>
      <c r="C9" s="108" t="s">
        <v>278</v>
      </c>
      <c r="D9" s="11"/>
      <c r="E9" s="44"/>
      <c r="F9" s="44"/>
      <c r="G9" s="12"/>
      <c r="H9" s="79" t="s">
        <v>78</v>
      </c>
      <c r="I9" s="84" t="s">
        <v>710</v>
      </c>
      <c r="J9" s="82" t="s">
        <v>66</v>
      </c>
      <c r="K9" s="80" t="s">
        <v>66</v>
      </c>
      <c r="L9" s="82"/>
      <c r="M9" s="82"/>
      <c r="N9" s="82"/>
      <c r="O9" s="82"/>
      <c r="P9" s="82"/>
      <c r="Q9" s="82"/>
      <c r="R9" s="82"/>
      <c r="S9" s="82"/>
      <c r="T9" s="82"/>
      <c r="U9" s="82" t="s">
        <v>86</v>
      </c>
    </row>
    <row r="10" spans="1:21" ht="66" x14ac:dyDescent="0.3">
      <c r="A10" s="74" t="s">
        <v>174</v>
      </c>
      <c r="B10" s="83" t="s">
        <v>254</v>
      </c>
      <c r="C10" s="108" t="s">
        <v>278</v>
      </c>
      <c r="D10" s="13"/>
      <c r="E10" s="45"/>
      <c r="F10" s="45"/>
      <c r="G10" s="14"/>
      <c r="H10" s="84" t="s">
        <v>82</v>
      </c>
      <c r="I10" s="84" t="s">
        <v>710</v>
      </c>
      <c r="J10" s="85" t="s">
        <v>66</v>
      </c>
      <c r="K10" s="80" t="s">
        <v>66</v>
      </c>
      <c r="L10" s="85"/>
      <c r="M10" s="85"/>
      <c r="N10" s="85"/>
      <c r="O10" s="85"/>
      <c r="P10" s="85"/>
      <c r="Q10" s="85"/>
      <c r="R10" s="85"/>
      <c r="S10" s="85"/>
      <c r="T10" s="85"/>
      <c r="U10" s="85" t="s">
        <v>86</v>
      </c>
    </row>
    <row r="11" spans="1:21" ht="25.8" x14ac:dyDescent="0.3">
      <c r="A11" s="74" t="s">
        <v>175</v>
      </c>
      <c r="B11" s="86" t="s">
        <v>255</v>
      </c>
      <c r="C11" s="108" t="s">
        <v>278</v>
      </c>
      <c r="D11" s="87"/>
      <c r="E11" s="88"/>
      <c r="F11" s="88"/>
      <c r="G11" s="89"/>
      <c r="H11" s="90" t="s">
        <v>81</v>
      </c>
      <c r="I11" s="84" t="s">
        <v>710</v>
      </c>
      <c r="J11" s="91" t="s">
        <v>66</v>
      </c>
      <c r="K11" s="91" t="s">
        <v>66</v>
      </c>
      <c r="L11" s="91"/>
      <c r="M11" s="91"/>
      <c r="N11" s="91"/>
      <c r="O11" s="91"/>
      <c r="P11" s="91"/>
      <c r="Q11" s="91"/>
      <c r="R11" s="91"/>
      <c r="S11" s="91"/>
      <c r="T11" s="91"/>
      <c r="U11" s="91" t="s">
        <v>86</v>
      </c>
    </row>
    <row r="12" spans="1:21" ht="25.8" x14ac:dyDescent="0.3">
      <c r="A12" s="62" t="s">
        <v>176</v>
      </c>
      <c r="B12" s="137" t="s">
        <v>5</v>
      </c>
      <c r="C12" s="137"/>
      <c r="D12" s="137"/>
      <c r="E12" s="137"/>
      <c r="F12" s="137"/>
      <c r="G12" s="137"/>
      <c r="H12" s="137"/>
      <c r="I12" s="137"/>
      <c r="J12" s="137"/>
      <c r="K12" s="137"/>
      <c r="L12" s="137"/>
      <c r="M12" s="137"/>
      <c r="N12" s="137"/>
      <c r="O12" s="137"/>
      <c r="P12" s="137"/>
      <c r="Q12" s="137"/>
      <c r="R12" s="137"/>
      <c r="S12" s="137"/>
      <c r="T12" s="137"/>
      <c r="U12" s="137"/>
    </row>
    <row r="13" spans="1:21" ht="39.6" x14ac:dyDescent="0.3">
      <c r="A13" s="74" t="s">
        <v>177</v>
      </c>
      <c r="B13" s="75" t="s">
        <v>6</v>
      </c>
      <c r="C13" s="108" t="s">
        <v>278</v>
      </c>
      <c r="D13" s="76"/>
      <c r="E13" s="77"/>
      <c r="F13" s="77"/>
      <c r="G13" s="92"/>
      <c r="H13" s="79" t="s">
        <v>77</v>
      </c>
      <c r="I13" s="84" t="s">
        <v>710</v>
      </c>
      <c r="J13" s="80" t="s">
        <v>66</v>
      </c>
      <c r="K13" s="80" t="s">
        <v>66</v>
      </c>
      <c r="L13" s="80"/>
      <c r="M13" s="80"/>
      <c r="N13" s="80"/>
      <c r="O13" s="80"/>
      <c r="P13" s="80"/>
      <c r="Q13" s="80"/>
      <c r="R13" s="80"/>
      <c r="S13" s="80"/>
      <c r="T13" s="80"/>
      <c r="U13" s="80" t="s">
        <v>86</v>
      </c>
    </row>
    <row r="14" spans="1:21" ht="19.2" x14ac:dyDescent="0.3">
      <c r="A14" s="57" t="s">
        <v>178</v>
      </c>
      <c r="B14" s="149" t="s">
        <v>7</v>
      </c>
      <c r="C14" s="149"/>
      <c r="D14" s="149"/>
      <c r="E14" s="149"/>
      <c r="F14" s="149"/>
      <c r="G14" s="149"/>
      <c r="H14" s="149"/>
      <c r="I14" s="149"/>
      <c r="J14" s="149"/>
      <c r="K14" s="149"/>
      <c r="L14" s="149"/>
      <c r="M14" s="149"/>
      <c r="N14" s="149"/>
      <c r="O14" s="149"/>
      <c r="P14" s="149"/>
      <c r="Q14" s="149"/>
      <c r="R14" s="149"/>
      <c r="S14" s="149"/>
      <c r="T14" s="149"/>
      <c r="U14" s="149"/>
    </row>
    <row r="15" spans="1:21" ht="25.8" x14ac:dyDescent="0.3">
      <c r="A15" s="59" t="s">
        <v>179</v>
      </c>
      <c r="B15" s="156" t="s">
        <v>8</v>
      </c>
      <c r="C15" s="156"/>
      <c r="D15" s="156"/>
      <c r="E15" s="156"/>
      <c r="F15" s="156"/>
      <c r="G15" s="156"/>
      <c r="H15" s="156"/>
      <c r="I15" s="156"/>
      <c r="J15" s="156"/>
      <c r="K15" s="156"/>
      <c r="L15" s="156"/>
      <c r="M15" s="156"/>
      <c r="N15" s="156"/>
      <c r="O15" s="156"/>
      <c r="P15" s="156"/>
      <c r="Q15" s="156"/>
      <c r="R15" s="156"/>
      <c r="S15" s="156"/>
      <c r="T15" s="156"/>
      <c r="U15" s="156"/>
    </row>
    <row r="16" spans="1:21" ht="211.2" x14ac:dyDescent="0.3">
      <c r="A16" s="74" t="s">
        <v>180</v>
      </c>
      <c r="B16" s="75" t="s">
        <v>256</v>
      </c>
      <c r="C16" s="135" t="s">
        <v>278</v>
      </c>
      <c r="D16" s="93"/>
      <c r="E16" s="94"/>
      <c r="F16" s="94"/>
      <c r="G16" s="78"/>
      <c r="H16" s="79" t="s">
        <v>77</v>
      </c>
      <c r="I16" s="84" t="s">
        <v>710</v>
      </c>
      <c r="J16" s="80" t="s">
        <v>66</v>
      </c>
      <c r="K16" s="80"/>
      <c r="L16" s="80"/>
      <c r="M16" s="80"/>
      <c r="N16" s="80"/>
      <c r="O16" s="80"/>
      <c r="P16" s="80"/>
      <c r="Q16" s="80"/>
      <c r="R16" s="80"/>
      <c r="S16" s="80"/>
      <c r="T16" s="80"/>
      <c r="U16" s="80" t="s">
        <v>86</v>
      </c>
    </row>
    <row r="17" spans="1:21" ht="25.8" x14ac:dyDescent="0.3">
      <c r="A17" s="62" t="s">
        <v>181</v>
      </c>
      <c r="B17" s="70" t="s">
        <v>9</v>
      </c>
      <c r="C17" s="70"/>
      <c r="D17" s="63"/>
      <c r="E17" s="63"/>
      <c r="F17" s="63"/>
      <c r="G17" s="64"/>
      <c r="H17" s="147"/>
      <c r="I17" s="147"/>
      <c r="J17" s="147"/>
      <c r="K17" s="147"/>
      <c r="L17" s="147"/>
      <c r="M17" s="147"/>
      <c r="N17" s="147"/>
      <c r="O17" s="147"/>
      <c r="P17" s="147"/>
      <c r="Q17" s="147"/>
      <c r="R17" s="147"/>
      <c r="S17" s="147"/>
      <c r="T17" s="147"/>
      <c r="U17" s="147"/>
    </row>
    <row r="18" spans="1:21" ht="105.6" x14ac:dyDescent="0.3">
      <c r="A18" s="74" t="s">
        <v>182</v>
      </c>
      <c r="B18" s="81" t="s">
        <v>272</v>
      </c>
      <c r="C18" s="108" t="s">
        <v>278</v>
      </c>
      <c r="D18" s="11"/>
      <c r="E18" s="44"/>
      <c r="F18" s="44"/>
      <c r="G18" s="12"/>
      <c r="H18" s="95" t="s">
        <v>77</v>
      </c>
      <c r="I18" s="84" t="s">
        <v>710</v>
      </c>
      <c r="J18" s="82" t="s">
        <v>66</v>
      </c>
      <c r="K18" s="82" t="s">
        <v>66</v>
      </c>
      <c r="L18" s="82"/>
      <c r="M18" s="82"/>
      <c r="N18" s="82"/>
      <c r="O18" s="82"/>
      <c r="P18" s="82"/>
      <c r="Q18" s="82"/>
      <c r="R18" s="82"/>
      <c r="S18" s="82"/>
      <c r="T18" s="82"/>
      <c r="U18" s="82" t="s">
        <v>86</v>
      </c>
    </row>
    <row r="19" spans="1:21" ht="52.8" x14ac:dyDescent="0.3">
      <c r="A19" s="74" t="s">
        <v>183</v>
      </c>
      <c r="B19" s="86" t="s">
        <v>257</v>
      </c>
      <c r="C19" s="108" t="s">
        <v>278</v>
      </c>
      <c r="D19" s="89"/>
      <c r="E19" s="89"/>
      <c r="F19" s="89"/>
      <c r="G19" s="89"/>
      <c r="H19" s="90" t="s">
        <v>77</v>
      </c>
      <c r="I19" s="84" t="s">
        <v>710</v>
      </c>
      <c r="J19" s="91" t="s">
        <v>66</v>
      </c>
      <c r="K19" s="91" t="s">
        <v>66</v>
      </c>
      <c r="L19" s="91"/>
      <c r="M19" s="91"/>
      <c r="N19" s="91"/>
      <c r="O19" s="91"/>
      <c r="P19" s="91"/>
      <c r="Q19" s="91"/>
      <c r="R19" s="91"/>
      <c r="S19" s="91"/>
      <c r="T19" s="91"/>
      <c r="U19" s="91" t="s">
        <v>86</v>
      </c>
    </row>
    <row r="20" spans="1:21" ht="25.8" x14ac:dyDescent="0.3">
      <c r="A20" s="62" t="s">
        <v>184</v>
      </c>
      <c r="B20" s="148" t="s">
        <v>10</v>
      </c>
      <c r="C20" s="148"/>
      <c r="D20" s="148"/>
      <c r="E20" s="148"/>
      <c r="F20" s="148"/>
      <c r="G20" s="148"/>
      <c r="H20" s="148"/>
      <c r="I20" s="148"/>
      <c r="J20" s="148"/>
      <c r="K20" s="148"/>
      <c r="L20" s="148"/>
      <c r="M20" s="148"/>
      <c r="N20" s="148"/>
      <c r="O20" s="148"/>
      <c r="P20" s="148"/>
      <c r="Q20" s="148"/>
      <c r="R20" s="148"/>
      <c r="S20" s="148"/>
      <c r="T20" s="148"/>
      <c r="U20" s="148"/>
    </row>
    <row r="21" spans="1:21" ht="26.4" x14ac:dyDescent="0.3">
      <c r="A21" s="74" t="s">
        <v>185</v>
      </c>
      <c r="B21" s="81" t="s">
        <v>273</v>
      </c>
      <c r="C21" s="135" t="s">
        <v>278</v>
      </c>
      <c r="D21" s="96"/>
      <c r="E21" s="97"/>
      <c r="F21" s="97"/>
      <c r="G21" s="12"/>
      <c r="H21" s="95" t="s">
        <v>77</v>
      </c>
      <c r="I21" s="84" t="s">
        <v>710</v>
      </c>
      <c r="J21" s="82" t="s">
        <v>66</v>
      </c>
      <c r="K21" s="82" t="s">
        <v>66</v>
      </c>
      <c r="L21" s="82" t="s">
        <v>66</v>
      </c>
      <c r="M21" s="82"/>
      <c r="N21" s="82"/>
      <c r="O21" s="82"/>
      <c r="P21" s="82"/>
      <c r="Q21" s="82"/>
      <c r="R21" s="82"/>
      <c r="S21" s="82"/>
      <c r="T21" s="82"/>
      <c r="U21" s="82" t="s">
        <v>86</v>
      </c>
    </row>
    <row r="22" spans="1:21" ht="66" x14ac:dyDescent="0.3">
      <c r="A22" s="74" t="s">
        <v>186</v>
      </c>
      <c r="B22" s="86" t="s">
        <v>11</v>
      </c>
      <c r="C22" s="108" t="s">
        <v>278</v>
      </c>
      <c r="D22" s="98"/>
      <c r="E22" s="99"/>
      <c r="F22" s="99"/>
      <c r="G22" s="89"/>
      <c r="H22" s="90" t="s">
        <v>77</v>
      </c>
      <c r="I22" s="84" t="s">
        <v>710</v>
      </c>
      <c r="J22" s="91" t="s">
        <v>66</v>
      </c>
      <c r="K22" s="91" t="s">
        <v>66</v>
      </c>
      <c r="L22" s="91" t="s">
        <v>66</v>
      </c>
      <c r="M22" s="91"/>
      <c r="N22" s="91"/>
      <c r="O22" s="91"/>
      <c r="P22" s="91"/>
      <c r="Q22" s="91"/>
      <c r="R22" s="91"/>
      <c r="S22" s="91"/>
      <c r="T22" s="91"/>
      <c r="U22" s="91" t="s">
        <v>86</v>
      </c>
    </row>
    <row r="23" spans="1:21" ht="19.2" x14ac:dyDescent="0.3">
      <c r="A23" s="57" t="s">
        <v>187</v>
      </c>
      <c r="B23" s="149" t="s">
        <v>12</v>
      </c>
      <c r="C23" s="149"/>
      <c r="D23" s="149"/>
      <c r="E23" s="149"/>
      <c r="F23" s="149"/>
      <c r="G23" s="149"/>
      <c r="H23" s="149"/>
      <c r="I23" s="149"/>
      <c r="J23" s="149"/>
      <c r="K23" s="149"/>
      <c r="L23" s="149"/>
      <c r="M23" s="149"/>
      <c r="N23" s="149"/>
      <c r="O23" s="149"/>
      <c r="P23" s="149"/>
      <c r="Q23" s="149"/>
      <c r="R23" s="149"/>
      <c r="S23" s="149"/>
      <c r="T23" s="149"/>
      <c r="U23" s="149"/>
    </row>
    <row r="24" spans="1:21" ht="25.8" x14ac:dyDescent="0.3">
      <c r="A24" s="59" t="s">
        <v>188</v>
      </c>
      <c r="B24" s="148" t="s">
        <v>13</v>
      </c>
      <c r="C24" s="148"/>
      <c r="D24" s="148"/>
      <c r="E24" s="148"/>
      <c r="F24" s="148"/>
      <c r="G24" s="148"/>
      <c r="H24" s="148"/>
      <c r="I24" s="148"/>
      <c r="J24" s="148"/>
      <c r="K24" s="148"/>
      <c r="L24" s="148"/>
      <c r="M24" s="148"/>
      <c r="N24" s="148"/>
      <c r="O24" s="148"/>
      <c r="P24" s="148"/>
      <c r="Q24" s="148"/>
      <c r="R24" s="148"/>
      <c r="S24" s="148"/>
      <c r="T24" s="148"/>
      <c r="U24" s="148"/>
    </row>
    <row r="25" spans="1:21" ht="30" x14ac:dyDescent="0.3">
      <c r="A25" s="100" t="s">
        <v>189</v>
      </c>
      <c r="B25" s="150" t="s">
        <v>14</v>
      </c>
      <c r="C25" s="150"/>
      <c r="D25" s="150"/>
      <c r="E25" s="150"/>
      <c r="F25" s="150"/>
      <c r="G25" s="150"/>
      <c r="H25" s="150"/>
      <c r="I25" s="150"/>
      <c r="J25" s="150"/>
      <c r="K25" s="150"/>
      <c r="L25" s="150"/>
      <c r="M25" s="150"/>
      <c r="N25" s="150"/>
      <c r="O25" s="150"/>
      <c r="P25" s="150"/>
      <c r="Q25" s="150"/>
      <c r="R25" s="150"/>
      <c r="S25" s="150"/>
      <c r="T25" s="150"/>
      <c r="U25" s="150"/>
    </row>
    <row r="26" spans="1:21" ht="92.4" x14ac:dyDescent="0.3">
      <c r="A26" s="74" t="s">
        <v>190</v>
      </c>
      <c r="B26" s="83" t="s">
        <v>258</v>
      </c>
      <c r="C26" s="108" t="s">
        <v>278</v>
      </c>
      <c r="D26" s="14"/>
      <c r="E26" s="14"/>
      <c r="F26" s="14"/>
      <c r="G26" s="14"/>
      <c r="H26" s="84" t="s">
        <v>77</v>
      </c>
      <c r="I26" s="84" t="s">
        <v>710</v>
      </c>
      <c r="J26" s="85" t="s">
        <v>66</v>
      </c>
      <c r="K26" s="85" t="s">
        <v>66</v>
      </c>
      <c r="L26" s="85" t="s">
        <v>66</v>
      </c>
      <c r="M26" s="85" t="s">
        <v>66</v>
      </c>
      <c r="N26" s="85" t="s">
        <v>66</v>
      </c>
      <c r="O26" s="85" t="s">
        <v>66</v>
      </c>
      <c r="P26" s="85" t="s">
        <v>66</v>
      </c>
      <c r="Q26" s="85" t="s">
        <v>66</v>
      </c>
      <c r="R26" s="85" t="s">
        <v>66</v>
      </c>
      <c r="S26" s="85" t="s">
        <v>66</v>
      </c>
      <c r="T26" s="85" t="s">
        <v>66</v>
      </c>
      <c r="U26" s="85" t="s">
        <v>86</v>
      </c>
    </row>
    <row r="27" spans="1:21" ht="52.8" x14ac:dyDescent="0.3">
      <c r="A27" s="74" t="s">
        <v>189</v>
      </c>
      <c r="B27" s="86" t="s">
        <v>15</v>
      </c>
      <c r="C27" s="108" t="s">
        <v>278</v>
      </c>
      <c r="D27" s="89"/>
      <c r="E27" s="89"/>
      <c r="F27" s="89"/>
      <c r="G27" s="89"/>
      <c r="H27" s="90" t="s">
        <v>77</v>
      </c>
      <c r="I27" s="84" t="s">
        <v>710</v>
      </c>
      <c r="J27" s="91" t="s">
        <v>66</v>
      </c>
      <c r="K27" s="91" t="s">
        <v>66</v>
      </c>
      <c r="L27" s="91" t="s">
        <v>66</v>
      </c>
      <c r="M27" s="91" t="s">
        <v>66</v>
      </c>
      <c r="N27" s="91" t="s">
        <v>66</v>
      </c>
      <c r="O27" s="91" t="s">
        <v>66</v>
      </c>
      <c r="P27" s="91" t="s">
        <v>66</v>
      </c>
      <c r="Q27" s="91" t="s">
        <v>66</v>
      </c>
      <c r="R27" s="91" t="s">
        <v>66</v>
      </c>
      <c r="S27" s="91" t="s">
        <v>66</v>
      </c>
      <c r="T27" s="91" t="s">
        <v>66</v>
      </c>
      <c r="U27" s="91" t="s">
        <v>86</v>
      </c>
    </row>
    <row r="28" spans="1:21" ht="30" x14ac:dyDescent="0.3">
      <c r="A28" s="62" t="s">
        <v>191</v>
      </c>
      <c r="B28" s="71" t="s">
        <v>16</v>
      </c>
      <c r="C28" s="71"/>
      <c r="D28" s="63"/>
      <c r="E28" s="63"/>
      <c r="F28" s="63"/>
      <c r="G28" s="64"/>
      <c r="H28" s="147"/>
      <c r="I28" s="147"/>
      <c r="J28" s="147"/>
      <c r="K28" s="147"/>
      <c r="L28" s="147"/>
      <c r="M28" s="147"/>
      <c r="N28" s="147"/>
      <c r="O28" s="147"/>
      <c r="P28" s="147"/>
      <c r="Q28" s="147"/>
      <c r="R28" s="147"/>
      <c r="S28" s="147"/>
      <c r="T28" s="147"/>
      <c r="U28" s="147"/>
    </row>
    <row r="29" spans="1:21" ht="237.6" x14ac:dyDescent="0.3">
      <c r="A29" s="74" t="s">
        <v>192</v>
      </c>
      <c r="B29" s="81" t="s">
        <v>259</v>
      </c>
      <c r="C29" s="108" t="s">
        <v>278</v>
      </c>
      <c r="D29" s="11" t="s">
        <v>276</v>
      </c>
      <c r="E29" s="44"/>
      <c r="F29" s="44"/>
      <c r="G29" s="12"/>
      <c r="H29" s="95" t="s">
        <v>77</v>
      </c>
      <c r="I29" s="84" t="s">
        <v>710</v>
      </c>
      <c r="J29" s="82" t="s">
        <v>66</v>
      </c>
      <c r="K29" s="82"/>
      <c r="L29" s="82" t="s">
        <v>66</v>
      </c>
      <c r="M29" s="82"/>
      <c r="N29" s="82"/>
      <c r="O29" s="82"/>
      <c r="P29" s="82"/>
      <c r="Q29" s="82"/>
      <c r="R29" s="82"/>
      <c r="S29" s="82"/>
      <c r="T29" s="82"/>
      <c r="U29" s="82" t="s">
        <v>86</v>
      </c>
    </row>
    <row r="30" spans="1:21" ht="30" x14ac:dyDescent="0.3">
      <c r="A30" s="74" t="s">
        <v>193</v>
      </c>
      <c r="B30" s="86" t="s">
        <v>17</v>
      </c>
      <c r="C30" s="108" t="s">
        <v>278</v>
      </c>
      <c r="D30" s="87"/>
      <c r="E30" s="88"/>
      <c r="F30" s="88"/>
      <c r="G30" s="89"/>
      <c r="H30" s="90" t="s">
        <v>77</v>
      </c>
      <c r="I30" s="84" t="s">
        <v>710</v>
      </c>
      <c r="J30" s="91" t="s">
        <v>66</v>
      </c>
      <c r="K30" s="91"/>
      <c r="L30" s="91" t="s">
        <v>66</v>
      </c>
      <c r="M30" s="91"/>
      <c r="N30" s="91"/>
      <c r="O30" s="91"/>
      <c r="P30" s="91"/>
      <c r="Q30" s="91"/>
      <c r="R30" s="91"/>
      <c r="S30" s="91"/>
      <c r="T30" s="91"/>
      <c r="U30" s="91"/>
    </row>
    <row r="31" spans="1:21" ht="30" x14ac:dyDescent="0.3">
      <c r="A31" s="62" t="s">
        <v>194</v>
      </c>
      <c r="B31" s="71" t="s">
        <v>18</v>
      </c>
      <c r="C31" s="71"/>
      <c r="D31" s="63"/>
      <c r="E31" s="63"/>
      <c r="F31" s="63"/>
      <c r="G31" s="64"/>
      <c r="H31" s="147"/>
      <c r="I31" s="147"/>
      <c r="J31" s="147"/>
      <c r="K31" s="147"/>
      <c r="L31" s="147"/>
      <c r="M31" s="147"/>
      <c r="N31" s="147"/>
      <c r="O31" s="147"/>
      <c r="P31" s="147"/>
      <c r="Q31" s="147"/>
      <c r="R31" s="147"/>
      <c r="S31" s="147"/>
      <c r="T31" s="147"/>
      <c r="U31" s="147"/>
    </row>
    <row r="32" spans="1:21" ht="198" x14ac:dyDescent="0.3">
      <c r="A32" s="74" t="s">
        <v>195</v>
      </c>
      <c r="B32" s="81" t="s">
        <v>260</v>
      </c>
      <c r="C32" s="108" t="s">
        <v>278</v>
      </c>
      <c r="D32" s="11" t="s">
        <v>275</v>
      </c>
      <c r="E32" s="44"/>
      <c r="F32" s="44"/>
      <c r="G32" s="12"/>
      <c r="H32" s="95" t="s">
        <v>81</v>
      </c>
      <c r="I32" s="84" t="s">
        <v>710</v>
      </c>
      <c r="J32" s="82" t="s">
        <v>66</v>
      </c>
      <c r="K32" s="82"/>
      <c r="L32" s="82" t="s">
        <v>66</v>
      </c>
      <c r="M32" s="82"/>
      <c r="N32" s="82"/>
      <c r="O32" s="82"/>
      <c r="P32" s="82"/>
      <c r="Q32" s="82"/>
      <c r="R32" s="82"/>
      <c r="S32" s="82"/>
      <c r="T32" s="82"/>
      <c r="U32" s="82" t="s">
        <v>86</v>
      </c>
    </row>
    <row r="33" spans="1:21" ht="92.4" x14ac:dyDescent="0.3">
      <c r="A33" s="74" t="s">
        <v>196</v>
      </c>
      <c r="B33" s="86" t="s">
        <v>261</v>
      </c>
      <c r="C33" s="108" t="s">
        <v>278</v>
      </c>
      <c r="D33" s="98"/>
      <c r="E33" s="99"/>
      <c r="F33" s="99"/>
      <c r="G33" s="89"/>
      <c r="H33" s="90" t="s">
        <v>77</v>
      </c>
      <c r="I33" s="84" t="s">
        <v>710</v>
      </c>
      <c r="J33" s="91" t="s">
        <v>66</v>
      </c>
      <c r="K33" s="91"/>
      <c r="L33" s="91" t="s">
        <v>66</v>
      </c>
      <c r="M33" s="91"/>
      <c r="N33" s="91"/>
      <c r="O33" s="91"/>
      <c r="P33" s="91"/>
      <c r="Q33" s="91"/>
      <c r="R33" s="91"/>
      <c r="S33" s="91"/>
      <c r="T33" s="91"/>
      <c r="U33" s="91" t="s">
        <v>86</v>
      </c>
    </row>
    <row r="34" spans="1:21" ht="23.4" x14ac:dyDescent="0.3">
      <c r="A34" s="62" t="s">
        <v>197</v>
      </c>
      <c r="B34" s="70" t="s">
        <v>19</v>
      </c>
      <c r="C34" s="70"/>
      <c r="D34" s="63"/>
      <c r="E34" s="63"/>
      <c r="F34" s="63"/>
      <c r="G34" s="64"/>
      <c r="H34" s="147"/>
      <c r="I34" s="147"/>
      <c r="J34" s="147"/>
      <c r="K34" s="147"/>
      <c r="L34" s="147"/>
      <c r="M34" s="147"/>
      <c r="N34" s="147"/>
      <c r="O34" s="147"/>
      <c r="P34" s="147"/>
      <c r="Q34" s="147"/>
      <c r="R34" s="147"/>
      <c r="S34" s="147"/>
      <c r="T34" s="147"/>
      <c r="U34" s="147"/>
    </row>
    <row r="35" spans="1:21" ht="26.4" x14ac:dyDescent="0.3">
      <c r="A35" s="74" t="s">
        <v>198</v>
      </c>
      <c r="B35" s="101" t="s">
        <v>20</v>
      </c>
      <c r="C35" s="108" t="s">
        <v>278</v>
      </c>
      <c r="D35" s="11"/>
      <c r="E35" s="44"/>
      <c r="F35" s="44"/>
      <c r="G35" s="12"/>
      <c r="H35" s="95" t="s">
        <v>77</v>
      </c>
      <c r="I35" s="84" t="s">
        <v>710</v>
      </c>
      <c r="J35" s="82" t="s">
        <v>66</v>
      </c>
      <c r="K35" s="82"/>
      <c r="L35" s="82" t="s">
        <v>66</v>
      </c>
      <c r="M35" s="82"/>
      <c r="N35" s="82"/>
      <c r="O35" s="82"/>
      <c r="P35" s="82"/>
      <c r="Q35" s="82"/>
      <c r="R35" s="82"/>
      <c r="S35" s="82"/>
      <c r="T35" s="82"/>
      <c r="U35" s="82" t="s">
        <v>86</v>
      </c>
    </row>
    <row r="36" spans="1:21" ht="105.6" x14ac:dyDescent="0.3">
      <c r="A36" s="74" t="s">
        <v>199</v>
      </c>
      <c r="B36" s="83" t="s">
        <v>262</v>
      </c>
      <c r="C36" s="108" t="s">
        <v>278</v>
      </c>
      <c r="D36" s="13"/>
      <c r="E36" s="45"/>
      <c r="F36" s="45"/>
      <c r="G36" s="14"/>
      <c r="H36" s="84" t="s">
        <v>77</v>
      </c>
      <c r="I36" s="84" t="s">
        <v>710</v>
      </c>
      <c r="J36" s="85" t="s">
        <v>66</v>
      </c>
      <c r="K36" s="85"/>
      <c r="L36" s="85" t="s">
        <v>66</v>
      </c>
      <c r="M36" s="85"/>
      <c r="N36" s="85"/>
      <c r="O36" s="85"/>
      <c r="P36" s="85"/>
      <c r="Q36" s="85"/>
      <c r="R36" s="85"/>
      <c r="S36" s="85"/>
      <c r="T36" s="85"/>
      <c r="U36" s="85" t="s">
        <v>86</v>
      </c>
    </row>
    <row r="37" spans="1:21" ht="26.4" x14ac:dyDescent="0.3">
      <c r="A37" s="74" t="s">
        <v>199</v>
      </c>
      <c r="B37" s="83" t="s">
        <v>21</v>
      </c>
      <c r="C37" s="108" t="s">
        <v>278</v>
      </c>
      <c r="D37" s="13"/>
      <c r="E37" s="45"/>
      <c r="F37" s="45"/>
      <c r="G37" s="14"/>
      <c r="H37" s="84" t="s">
        <v>77</v>
      </c>
      <c r="I37" s="84" t="s">
        <v>710</v>
      </c>
      <c r="J37" s="85" t="s">
        <v>66</v>
      </c>
      <c r="K37" s="85"/>
      <c r="L37" s="85" t="s">
        <v>66</v>
      </c>
      <c r="M37" s="85"/>
      <c r="N37" s="85"/>
      <c r="O37" s="85"/>
      <c r="P37" s="85"/>
      <c r="Q37" s="85"/>
      <c r="R37" s="85"/>
      <c r="S37" s="85"/>
      <c r="T37" s="85"/>
      <c r="U37" s="85" t="s">
        <v>86</v>
      </c>
    </row>
    <row r="38" spans="1:21" ht="92.4" x14ac:dyDescent="0.3">
      <c r="A38" s="74" t="s">
        <v>200</v>
      </c>
      <c r="B38" s="86" t="s">
        <v>263</v>
      </c>
      <c r="C38" s="108" t="s">
        <v>278</v>
      </c>
      <c r="D38" s="87"/>
      <c r="E38" s="88"/>
      <c r="F38" s="88"/>
      <c r="G38" s="89"/>
      <c r="H38" s="90" t="s">
        <v>77</v>
      </c>
      <c r="I38" s="84" t="s">
        <v>710</v>
      </c>
      <c r="J38" s="91" t="s">
        <v>66</v>
      </c>
      <c r="K38" s="91"/>
      <c r="L38" s="91" t="s">
        <v>66</v>
      </c>
      <c r="M38" s="91"/>
      <c r="N38" s="91"/>
      <c r="O38" s="91"/>
      <c r="P38" s="91"/>
      <c r="Q38" s="91"/>
      <c r="R38" s="91"/>
      <c r="S38" s="91"/>
      <c r="T38" s="91"/>
      <c r="U38" s="91" t="s">
        <v>86</v>
      </c>
    </row>
    <row r="39" spans="1:21" ht="23.4" x14ac:dyDescent="0.3">
      <c r="A39" s="62" t="s">
        <v>721</v>
      </c>
      <c r="B39" s="70" t="s">
        <v>722</v>
      </c>
      <c r="C39" s="70"/>
      <c r="D39" s="63"/>
      <c r="E39" s="63"/>
      <c r="F39" s="63"/>
      <c r="G39" s="64"/>
      <c r="H39" s="147"/>
      <c r="I39" s="147"/>
      <c r="J39" s="147"/>
      <c r="K39" s="147"/>
      <c r="L39" s="147"/>
      <c r="M39" s="147"/>
      <c r="N39" s="147"/>
      <c r="O39" s="147"/>
      <c r="P39" s="147"/>
      <c r="Q39" s="147"/>
      <c r="R39" s="147"/>
      <c r="S39" s="147"/>
      <c r="T39" s="147"/>
      <c r="U39" s="147"/>
    </row>
    <row r="40" spans="1:21" ht="26.4" x14ac:dyDescent="0.3">
      <c r="A40" s="74" t="s">
        <v>724</v>
      </c>
      <c r="B40" s="101" t="s">
        <v>723</v>
      </c>
      <c r="C40" s="108" t="s">
        <v>278</v>
      </c>
      <c r="D40" s="11"/>
      <c r="E40" s="44"/>
      <c r="F40" s="44"/>
      <c r="G40" s="12"/>
      <c r="H40" s="95" t="s">
        <v>77</v>
      </c>
      <c r="I40" s="84" t="s">
        <v>710</v>
      </c>
      <c r="J40" s="82" t="s">
        <v>66</v>
      </c>
      <c r="K40" s="82"/>
      <c r="L40" s="82" t="s">
        <v>66</v>
      </c>
      <c r="M40" s="82"/>
      <c r="N40" s="82"/>
      <c r="O40" s="82"/>
      <c r="P40" s="82"/>
      <c r="Q40" s="82"/>
      <c r="R40" s="82"/>
      <c r="S40" s="82"/>
      <c r="T40" s="82"/>
      <c r="U40" s="82" t="s">
        <v>86</v>
      </c>
    </row>
    <row r="41" spans="1:21" ht="19.2" x14ac:dyDescent="0.3">
      <c r="A41" s="57" t="s">
        <v>201</v>
      </c>
      <c r="B41" s="58" t="s">
        <v>22</v>
      </c>
      <c r="C41" s="58"/>
      <c r="D41" s="52"/>
      <c r="E41" s="52"/>
      <c r="F41" s="52"/>
      <c r="G41" s="67"/>
      <c r="H41" s="147"/>
      <c r="I41" s="147"/>
      <c r="J41" s="147"/>
      <c r="K41" s="147"/>
      <c r="L41" s="147"/>
      <c r="M41" s="147"/>
      <c r="N41" s="147"/>
      <c r="O41" s="147"/>
      <c r="P41" s="147"/>
      <c r="Q41" s="147"/>
      <c r="R41" s="147"/>
      <c r="S41" s="147"/>
      <c r="T41" s="147"/>
      <c r="U41" s="147"/>
    </row>
    <row r="42" spans="1:21" ht="25.8" x14ac:dyDescent="0.3">
      <c r="A42" s="59" t="s">
        <v>202</v>
      </c>
      <c r="B42" s="68" t="s">
        <v>23</v>
      </c>
      <c r="C42" s="68"/>
      <c r="D42" s="60"/>
      <c r="E42" s="60"/>
      <c r="F42" s="60"/>
      <c r="G42" s="69"/>
      <c r="H42" s="147"/>
      <c r="I42" s="147"/>
      <c r="J42" s="147"/>
      <c r="K42" s="147"/>
      <c r="L42" s="147"/>
      <c r="M42" s="147"/>
      <c r="N42" s="147"/>
      <c r="O42" s="147"/>
      <c r="P42" s="147"/>
      <c r="Q42" s="147"/>
      <c r="R42" s="147"/>
      <c r="S42" s="147"/>
      <c r="T42" s="147"/>
      <c r="U42" s="147"/>
    </row>
    <row r="43" spans="1:21" ht="39.6" x14ac:dyDescent="0.3">
      <c r="A43" s="74" t="s">
        <v>203</v>
      </c>
      <c r="B43" s="75" t="s">
        <v>24</v>
      </c>
      <c r="C43" s="108" t="s">
        <v>278</v>
      </c>
      <c r="D43" s="76"/>
      <c r="E43" s="77"/>
      <c r="F43" s="77"/>
      <c r="G43" s="78"/>
      <c r="H43" s="79" t="s">
        <v>77</v>
      </c>
      <c r="I43" s="84" t="s">
        <v>710</v>
      </c>
      <c r="J43" s="80" t="s">
        <v>66</v>
      </c>
      <c r="K43" s="80"/>
      <c r="L43" s="80"/>
      <c r="M43" s="80"/>
      <c r="N43" s="80"/>
      <c r="O43" s="80"/>
      <c r="P43" s="80"/>
      <c r="Q43" s="80"/>
      <c r="R43" s="80"/>
      <c r="S43" s="80"/>
      <c r="T43" s="80"/>
      <c r="U43" s="80" t="s">
        <v>86</v>
      </c>
    </row>
    <row r="44" spans="1:21" ht="25.8" x14ac:dyDescent="0.3">
      <c r="A44" s="62" t="s">
        <v>204</v>
      </c>
      <c r="B44" s="70" t="s">
        <v>25</v>
      </c>
      <c r="C44" s="70"/>
      <c r="D44" s="63"/>
      <c r="E44" s="63"/>
      <c r="F44" s="63"/>
      <c r="G44" s="64"/>
      <c r="H44" s="147"/>
      <c r="I44" s="147"/>
      <c r="J44" s="147"/>
      <c r="K44" s="147"/>
      <c r="L44" s="147"/>
      <c r="M44" s="147"/>
      <c r="N44" s="147"/>
      <c r="O44" s="147"/>
      <c r="P44" s="147"/>
      <c r="Q44" s="147"/>
      <c r="R44" s="147"/>
      <c r="S44" s="147"/>
      <c r="T44" s="147"/>
      <c r="U44" s="147"/>
    </row>
    <row r="45" spans="1:21" ht="105.6" x14ac:dyDescent="0.3">
      <c r="A45" s="74" t="s">
        <v>205</v>
      </c>
      <c r="B45" s="75" t="s">
        <v>26</v>
      </c>
      <c r="C45" s="108" t="s">
        <v>278</v>
      </c>
      <c r="D45" s="102"/>
      <c r="E45" s="103"/>
      <c r="F45" s="103"/>
      <c r="G45" s="78"/>
      <c r="H45" s="79" t="s">
        <v>77</v>
      </c>
      <c r="I45" s="84" t="s">
        <v>710</v>
      </c>
      <c r="J45" s="80" t="s">
        <v>66</v>
      </c>
      <c r="K45" s="80" t="s">
        <v>66</v>
      </c>
      <c r="L45" s="80"/>
      <c r="M45" s="80"/>
      <c r="N45" s="80"/>
      <c r="O45" s="80"/>
      <c r="P45" s="80"/>
      <c r="Q45" s="80"/>
      <c r="R45" s="80"/>
      <c r="S45" s="80"/>
      <c r="T45" s="80"/>
      <c r="U45" s="80" t="s">
        <v>86</v>
      </c>
    </row>
    <row r="46" spans="1:21" ht="25.8" x14ac:dyDescent="0.3">
      <c r="A46" s="62" t="s">
        <v>206</v>
      </c>
      <c r="B46" s="70" t="s">
        <v>27</v>
      </c>
      <c r="C46" s="70"/>
      <c r="D46" s="63"/>
      <c r="E46" s="63"/>
      <c r="F46" s="63"/>
      <c r="G46" s="64"/>
      <c r="H46" s="147"/>
      <c r="I46" s="147"/>
      <c r="J46" s="147"/>
      <c r="K46" s="147"/>
      <c r="L46" s="147"/>
      <c r="M46" s="147"/>
      <c r="N46" s="147"/>
      <c r="O46" s="147"/>
      <c r="P46" s="147"/>
      <c r="Q46" s="147"/>
      <c r="R46" s="147"/>
      <c r="S46" s="147"/>
      <c r="T46" s="147"/>
      <c r="U46" s="147"/>
    </row>
    <row r="47" spans="1:21" ht="79.2" x14ac:dyDescent="0.3">
      <c r="A47" s="74" t="s">
        <v>207</v>
      </c>
      <c r="B47" s="75" t="s">
        <v>264</v>
      </c>
      <c r="C47" s="108" t="s">
        <v>278</v>
      </c>
      <c r="D47" s="76"/>
      <c r="E47" s="76"/>
      <c r="F47" s="76"/>
      <c r="G47" s="76"/>
      <c r="H47" s="79" t="s">
        <v>77</v>
      </c>
      <c r="I47" s="84" t="s">
        <v>710</v>
      </c>
      <c r="J47" s="80" t="s">
        <v>66</v>
      </c>
      <c r="K47" s="80" t="s">
        <v>66</v>
      </c>
      <c r="L47" s="80" t="s">
        <v>66</v>
      </c>
      <c r="M47" s="80"/>
      <c r="N47" s="80"/>
      <c r="O47" s="80"/>
      <c r="P47" s="80"/>
      <c r="Q47" s="80"/>
      <c r="R47" s="80"/>
      <c r="S47" s="80"/>
      <c r="T47" s="80"/>
      <c r="U47" s="80" t="s">
        <v>86</v>
      </c>
    </row>
    <row r="48" spans="1:21" ht="25.8" x14ac:dyDescent="0.3">
      <c r="A48" s="62" t="s">
        <v>208</v>
      </c>
      <c r="B48" s="70" t="s">
        <v>28</v>
      </c>
      <c r="C48" s="70"/>
      <c r="D48" s="63"/>
      <c r="E48" s="63"/>
      <c r="F48" s="63"/>
      <c r="G48" s="64"/>
      <c r="H48" s="147"/>
      <c r="I48" s="147"/>
      <c r="J48" s="147"/>
      <c r="K48" s="147"/>
      <c r="L48" s="147"/>
      <c r="M48" s="147"/>
      <c r="N48" s="147"/>
      <c r="O48" s="147"/>
      <c r="P48" s="147"/>
      <c r="Q48" s="147"/>
      <c r="R48" s="147"/>
      <c r="S48" s="147"/>
      <c r="T48" s="147"/>
      <c r="U48" s="147"/>
    </row>
    <row r="49" spans="1:21" ht="66" x14ac:dyDescent="0.3">
      <c r="A49" s="74" t="s">
        <v>209</v>
      </c>
      <c r="B49" s="104" t="s">
        <v>126</v>
      </c>
      <c r="C49" s="108" t="s">
        <v>278</v>
      </c>
      <c r="D49" s="87"/>
      <c r="E49" s="88"/>
      <c r="F49" s="88"/>
      <c r="G49" s="89"/>
      <c r="H49" s="90" t="s">
        <v>77</v>
      </c>
      <c r="I49" s="84" t="s">
        <v>710</v>
      </c>
      <c r="J49" s="91" t="s">
        <v>66</v>
      </c>
      <c r="K49" s="91" t="s">
        <v>66</v>
      </c>
      <c r="L49" s="91" t="s">
        <v>66</v>
      </c>
      <c r="M49" s="91"/>
      <c r="N49" s="91"/>
      <c r="O49" s="91"/>
      <c r="P49" s="91"/>
      <c r="Q49" s="91"/>
      <c r="R49" s="91"/>
      <c r="S49" s="91"/>
      <c r="T49" s="91"/>
      <c r="U49" s="91" t="s">
        <v>86</v>
      </c>
    </row>
    <row r="50" spans="1:21" ht="26.4" x14ac:dyDescent="0.3">
      <c r="A50" s="74" t="s">
        <v>210</v>
      </c>
      <c r="B50" s="104" t="s">
        <v>29</v>
      </c>
      <c r="C50" s="108" t="s">
        <v>278</v>
      </c>
      <c r="D50" s="87"/>
      <c r="E50" s="88"/>
      <c r="F50" s="88"/>
      <c r="G50" s="89"/>
      <c r="H50" s="90" t="s">
        <v>77</v>
      </c>
      <c r="I50" s="84" t="s">
        <v>710</v>
      </c>
      <c r="J50" s="91" t="s">
        <v>66</v>
      </c>
      <c r="K50" s="91" t="s">
        <v>66</v>
      </c>
      <c r="L50" s="91" t="s">
        <v>66</v>
      </c>
      <c r="M50" s="91"/>
      <c r="N50" s="91"/>
      <c r="O50" s="91"/>
      <c r="P50" s="91"/>
      <c r="Q50" s="91"/>
      <c r="R50" s="91"/>
      <c r="S50" s="91"/>
      <c r="T50" s="91"/>
      <c r="U50" s="91" t="s">
        <v>86</v>
      </c>
    </row>
    <row r="51" spans="1:21" ht="25.8" x14ac:dyDescent="0.3">
      <c r="A51" s="57" t="s">
        <v>211</v>
      </c>
      <c r="B51" s="72" t="s">
        <v>30</v>
      </c>
      <c r="C51" s="72"/>
      <c r="D51" s="52"/>
      <c r="E51" s="52"/>
      <c r="F51" s="52"/>
      <c r="G51" s="67"/>
      <c r="H51" s="147"/>
      <c r="I51" s="147"/>
      <c r="J51" s="147"/>
      <c r="K51" s="147"/>
      <c r="L51" s="147"/>
      <c r="M51" s="147"/>
      <c r="N51" s="147"/>
      <c r="O51" s="147"/>
      <c r="P51" s="147"/>
      <c r="Q51" s="147"/>
      <c r="R51" s="147"/>
      <c r="S51" s="147"/>
      <c r="T51" s="147"/>
      <c r="U51" s="147"/>
    </row>
    <row r="52" spans="1:21" ht="30" x14ac:dyDescent="0.3">
      <c r="A52" s="59" t="s">
        <v>212</v>
      </c>
      <c r="B52" s="73" t="s">
        <v>31</v>
      </c>
      <c r="C52" s="73"/>
      <c r="D52" s="60"/>
      <c r="E52" s="60"/>
      <c r="F52" s="60"/>
      <c r="G52" s="69"/>
      <c r="H52" s="147"/>
      <c r="I52" s="147"/>
      <c r="J52" s="147"/>
      <c r="K52" s="147"/>
      <c r="L52" s="147"/>
      <c r="M52" s="147"/>
      <c r="N52" s="147"/>
      <c r="O52" s="147"/>
      <c r="P52" s="147"/>
      <c r="Q52" s="147"/>
      <c r="R52" s="147"/>
      <c r="S52" s="147"/>
      <c r="T52" s="147"/>
      <c r="U52" s="147"/>
    </row>
    <row r="53" spans="1:21" ht="52.8" x14ac:dyDescent="0.3">
      <c r="A53" s="74" t="s">
        <v>213</v>
      </c>
      <c r="B53" s="75" t="s">
        <v>265</v>
      </c>
      <c r="C53" s="108" t="s">
        <v>278</v>
      </c>
      <c r="D53" s="76"/>
      <c r="E53" s="76"/>
      <c r="F53" s="76"/>
      <c r="G53" s="76"/>
      <c r="H53" s="79" t="s">
        <v>77</v>
      </c>
      <c r="I53" s="84" t="s">
        <v>710</v>
      </c>
      <c r="J53" s="80" t="s">
        <v>66</v>
      </c>
      <c r="K53" s="80" t="s">
        <v>66</v>
      </c>
      <c r="L53" s="80" t="s">
        <v>66</v>
      </c>
      <c r="M53" s="80" t="s">
        <v>66</v>
      </c>
      <c r="N53" s="80" t="s">
        <v>66</v>
      </c>
      <c r="O53" s="80" t="s">
        <v>66</v>
      </c>
      <c r="P53" s="80" t="s">
        <v>66</v>
      </c>
      <c r="Q53" s="80" t="s">
        <v>66</v>
      </c>
      <c r="R53" s="80" t="s">
        <v>66</v>
      </c>
      <c r="S53" s="80" t="s">
        <v>66</v>
      </c>
      <c r="T53" s="80" t="s">
        <v>66</v>
      </c>
      <c r="U53" s="80" t="s">
        <v>86</v>
      </c>
    </row>
    <row r="54" spans="1:21" ht="30" x14ac:dyDescent="0.3">
      <c r="A54" s="62" t="s">
        <v>214</v>
      </c>
      <c r="B54" s="71" t="s">
        <v>32</v>
      </c>
      <c r="C54" s="71"/>
      <c r="D54" s="63"/>
      <c r="E54" s="63"/>
      <c r="F54" s="63"/>
      <c r="G54" s="64"/>
      <c r="H54" s="65"/>
      <c r="I54" s="65"/>
      <c r="J54" s="66"/>
      <c r="K54" s="66"/>
      <c r="L54" s="66"/>
      <c r="M54" s="66"/>
      <c r="N54" s="66"/>
      <c r="O54" s="66"/>
      <c r="P54" s="66"/>
      <c r="Q54" s="66"/>
      <c r="R54" s="66"/>
      <c r="S54" s="66"/>
      <c r="T54" s="66"/>
      <c r="U54" s="66"/>
    </row>
    <row r="55" spans="1:21" ht="79.2" x14ac:dyDescent="0.3">
      <c r="A55" s="74" t="s">
        <v>215</v>
      </c>
      <c r="B55" s="75" t="s">
        <v>33</v>
      </c>
      <c r="C55" s="108" t="s">
        <v>278</v>
      </c>
      <c r="D55" s="76"/>
      <c r="E55" s="77"/>
      <c r="F55" s="77"/>
      <c r="G55" s="78"/>
      <c r="H55" s="79" t="s">
        <v>77</v>
      </c>
      <c r="I55" s="84" t="s">
        <v>710</v>
      </c>
      <c r="J55" s="80" t="s">
        <v>66</v>
      </c>
      <c r="K55" s="80" t="s">
        <v>66</v>
      </c>
      <c r="L55" s="80" t="s">
        <v>66</v>
      </c>
      <c r="M55" s="80" t="s">
        <v>66</v>
      </c>
      <c r="N55" s="80" t="s">
        <v>66</v>
      </c>
      <c r="O55" s="80" t="s">
        <v>66</v>
      </c>
      <c r="P55" s="80" t="s">
        <v>66</v>
      </c>
      <c r="Q55" s="80" t="s">
        <v>66</v>
      </c>
      <c r="R55" s="80" t="s">
        <v>66</v>
      </c>
      <c r="S55" s="80" t="s">
        <v>66</v>
      </c>
      <c r="T55" s="80" t="s">
        <v>66</v>
      </c>
      <c r="U55" s="80" t="s">
        <v>86</v>
      </c>
    </row>
    <row r="56" spans="1:21" ht="30" x14ac:dyDescent="0.3">
      <c r="A56" s="62" t="s">
        <v>216</v>
      </c>
      <c r="B56" s="71" t="s">
        <v>34</v>
      </c>
      <c r="C56" s="71"/>
      <c r="D56" s="63"/>
      <c r="E56" s="63"/>
      <c r="F56" s="63"/>
      <c r="G56" s="64"/>
      <c r="H56" s="147"/>
      <c r="I56" s="147"/>
      <c r="J56" s="147"/>
      <c r="K56" s="147"/>
      <c r="L56" s="147"/>
      <c r="M56" s="147"/>
      <c r="N56" s="147"/>
      <c r="O56" s="147"/>
      <c r="P56" s="147"/>
      <c r="Q56" s="147"/>
      <c r="R56" s="147"/>
      <c r="S56" s="147"/>
      <c r="T56" s="147"/>
      <c r="U56" s="147"/>
    </row>
    <row r="57" spans="1:21" ht="66" x14ac:dyDescent="0.3">
      <c r="A57" s="74" t="s">
        <v>217</v>
      </c>
      <c r="B57" s="81" t="s">
        <v>35</v>
      </c>
      <c r="C57" s="108" t="s">
        <v>278</v>
      </c>
      <c r="D57" s="11"/>
      <c r="E57" s="44"/>
      <c r="F57" s="44"/>
      <c r="G57" s="12"/>
      <c r="H57" s="95" t="s">
        <v>77</v>
      </c>
      <c r="I57" s="84" t="s">
        <v>710</v>
      </c>
      <c r="J57" s="80" t="s">
        <v>66</v>
      </c>
      <c r="K57" s="80" t="s">
        <v>66</v>
      </c>
      <c r="L57" s="80" t="s">
        <v>66</v>
      </c>
      <c r="M57" s="80" t="s">
        <v>66</v>
      </c>
      <c r="N57" s="80" t="s">
        <v>66</v>
      </c>
      <c r="O57" s="80" t="s">
        <v>66</v>
      </c>
      <c r="P57" s="80" t="s">
        <v>66</v>
      </c>
      <c r="Q57" s="80" t="s">
        <v>66</v>
      </c>
      <c r="R57" s="80" t="s">
        <v>66</v>
      </c>
      <c r="S57" s="80" t="s">
        <v>66</v>
      </c>
      <c r="T57" s="80" t="s">
        <v>66</v>
      </c>
      <c r="U57" s="82" t="s">
        <v>86</v>
      </c>
    </row>
    <row r="58" spans="1:21" ht="79.2" x14ac:dyDescent="0.3">
      <c r="A58" s="74" t="s">
        <v>218</v>
      </c>
      <c r="B58" s="83" t="s">
        <v>36</v>
      </c>
      <c r="C58" s="108" t="s">
        <v>278</v>
      </c>
      <c r="D58" s="13"/>
      <c r="E58" s="45"/>
      <c r="F58" s="45"/>
      <c r="G58" s="14"/>
      <c r="H58" s="84" t="s">
        <v>77</v>
      </c>
      <c r="I58" s="84" t="s">
        <v>710</v>
      </c>
      <c r="J58" s="80" t="s">
        <v>66</v>
      </c>
      <c r="K58" s="80" t="s">
        <v>66</v>
      </c>
      <c r="L58" s="80" t="s">
        <v>66</v>
      </c>
      <c r="M58" s="80" t="s">
        <v>66</v>
      </c>
      <c r="N58" s="80" t="s">
        <v>66</v>
      </c>
      <c r="O58" s="80" t="s">
        <v>66</v>
      </c>
      <c r="P58" s="80" t="s">
        <v>66</v>
      </c>
      <c r="Q58" s="80" t="s">
        <v>66</v>
      </c>
      <c r="R58" s="80" t="s">
        <v>66</v>
      </c>
      <c r="S58" s="80" t="s">
        <v>66</v>
      </c>
      <c r="T58" s="80" t="s">
        <v>66</v>
      </c>
      <c r="U58" s="85" t="s">
        <v>86</v>
      </c>
    </row>
    <row r="59" spans="1:21" ht="39.6" x14ac:dyDescent="0.3">
      <c r="A59" s="74" t="s">
        <v>219</v>
      </c>
      <c r="B59" s="86" t="s">
        <v>37</v>
      </c>
      <c r="C59" s="108" t="s">
        <v>278</v>
      </c>
      <c r="D59" s="87"/>
      <c r="E59" s="88"/>
      <c r="F59" s="88"/>
      <c r="G59" s="89"/>
      <c r="H59" s="90" t="s">
        <v>77</v>
      </c>
      <c r="I59" s="84" t="s">
        <v>710</v>
      </c>
      <c r="J59" s="80" t="s">
        <v>66</v>
      </c>
      <c r="K59" s="80" t="s">
        <v>66</v>
      </c>
      <c r="L59" s="80" t="s">
        <v>66</v>
      </c>
      <c r="M59" s="80" t="s">
        <v>66</v>
      </c>
      <c r="N59" s="80" t="s">
        <v>66</v>
      </c>
      <c r="O59" s="80" t="s">
        <v>66</v>
      </c>
      <c r="P59" s="80" t="s">
        <v>66</v>
      </c>
      <c r="Q59" s="80" t="s">
        <v>66</v>
      </c>
      <c r="R59" s="80" t="s">
        <v>66</v>
      </c>
      <c r="S59" s="80" t="s">
        <v>66</v>
      </c>
      <c r="T59" s="80" t="s">
        <v>66</v>
      </c>
      <c r="U59" s="91" t="s">
        <v>86</v>
      </c>
    </row>
    <row r="60" spans="1:21" ht="19.2" x14ac:dyDescent="0.3">
      <c r="A60" s="57" t="s">
        <v>220</v>
      </c>
      <c r="B60" s="58" t="s">
        <v>38</v>
      </c>
      <c r="C60" s="58"/>
      <c r="D60" s="52"/>
      <c r="E60" s="52"/>
      <c r="F60" s="52"/>
      <c r="G60" s="67"/>
      <c r="H60" s="147"/>
      <c r="I60" s="147"/>
      <c r="J60" s="147"/>
      <c r="K60" s="147"/>
      <c r="L60" s="147"/>
      <c r="M60" s="147"/>
      <c r="N60" s="147"/>
      <c r="O60" s="147"/>
      <c r="P60" s="147"/>
      <c r="Q60" s="147"/>
      <c r="R60" s="147"/>
      <c r="S60" s="147"/>
      <c r="T60" s="147"/>
      <c r="U60" s="147"/>
    </row>
    <row r="61" spans="1:21" ht="25.8" x14ac:dyDescent="0.3">
      <c r="A61" s="59" t="s">
        <v>221</v>
      </c>
      <c r="B61" s="68" t="s">
        <v>39</v>
      </c>
      <c r="C61" s="68"/>
      <c r="D61" s="60"/>
      <c r="E61" s="60"/>
      <c r="F61" s="60"/>
      <c r="G61" s="69"/>
      <c r="H61" s="147"/>
      <c r="I61" s="147"/>
      <c r="J61" s="147"/>
      <c r="K61" s="147"/>
      <c r="L61" s="147"/>
      <c r="M61" s="147"/>
      <c r="N61" s="147"/>
      <c r="O61" s="147"/>
      <c r="P61" s="147"/>
      <c r="Q61" s="147"/>
      <c r="R61" s="147"/>
      <c r="S61" s="147"/>
      <c r="T61" s="147"/>
      <c r="U61" s="147"/>
    </row>
    <row r="62" spans="1:21" ht="26.4" x14ac:dyDescent="0.3">
      <c r="A62" s="74" t="s">
        <v>222</v>
      </c>
      <c r="B62" s="81" t="s">
        <v>40</v>
      </c>
      <c r="C62" s="108" t="s">
        <v>278</v>
      </c>
      <c r="D62" s="105"/>
      <c r="E62" s="105"/>
      <c r="F62" s="105"/>
      <c r="G62" s="105"/>
      <c r="H62" s="95" t="s">
        <v>77</v>
      </c>
      <c r="I62" s="84" t="s">
        <v>710</v>
      </c>
      <c r="J62" s="80" t="s">
        <v>66</v>
      </c>
      <c r="K62" s="80" t="s">
        <v>66</v>
      </c>
      <c r="L62" s="80" t="s">
        <v>66</v>
      </c>
      <c r="M62" s="80" t="s">
        <v>66</v>
      </c>
      <c r="N62" s="80" t="s">
        <v>66</v>
      </c>
      <c r="O62" s="80" t="s">
        <v>66</v>
      </c>
      <c r="P62" s="80" t="s">
        <v>66</v>
      </c>
      <c r="Q62" s="80" t="s">
        <v>66</v>
      </c>
      <c r="R62" s="80" t="s">
        <v>66</v>
      </c>
      <c r="S62" s="80" t="s">
        <v>66</v>
      </c>
      <c r="T62" s="80" t="s">
        <v>66</v>
      </c>
      <c r="U62" s="82" t="s">
        <v>86</v>
      </c>
    </row>
    <row r="63" spans="1:21" ht="26.4" x14ac:dyDescent="0.3">
      <c r="A63" s="74" t="s">
        <v>223</v>
      </c>
      <c r="B63" s="83" t="s">
        <v>41</v>
      </c>
      <c r="C63" s="108" t="s">
        <v>278</v>
      </c>
      <c r="D63" s="53"/>
      <c r="E63" s="53"/>
      <c r="F63" s="53"/>
      <c r="G63" s="53"/>
      <c r="H63" s="84" t="s">
        <v>77</v>
      </c>
      <c r="I63" s="84" t="s">
        <v>710</v>
      </c>
      <c r="J63" s="80" t="s">
        <v>66</v>
      </c>
      <c r="K63" s="80" t="s">
        <v>66</v>
      </c>
      <c r="L63" s="80" t="s">
        <v>66</v>
      </c>
      <c r="M63" s="80" t="s">
        <v>66</v>
      </c>
      <c r="N63" s="80" t="s">
        <v>66</v>
      </c>
      <c r="O63" s="80" t="s">
        <v>66</v>
      </c>
      <c r="P63" s="80" t="s">
        <v>66</v>
      </c>
      <c r="Q63" s="80" t="s">
        <v>66</v>
      </c>
      <c r="R63" s="80" t="s">
        <v>66</v>
      </c>
      <c r="S63" s="80" t="s">
        <v>66</v>
      </c>
      <c r="T63" s="80" t="s">
        <v>66</v>
      </c>
      <c r="U63" s="85" t="s">
        <v>86</v>
      </c>
    </row>
    <row r="64" spans="1:21" ht="26.4" x14ac:dyDescent="0.3">
      <c r="A64" s="74" t="s">
        <v>224</v>
      </c>
      <c r="B64" s="83" t="s">
        <v>42</v>
      </c>
      <c r="C64" s="108" t="s">
        <v>278</v>
      </c>
      <c r="D64" s="13"/>
      <c r="E64" s="45"/>
      <c r="F64" s="45"/>
      <c r="G64" s="14"/>
      <c r="H64" s="84" t="s">
        <v>77</v>
      </c>
      <c r="I64" s="84" t="s">
        <v>710</v>
      </c>
      <c r="J64" s="80" t="s">
        <v>66</v>
      </c>
      <c r="K64" s="80" t="s">
        <v>66</v>
      </c>
      <c r="L64" s="80" t="s">
        <v>66</v>
      </c>
      <c r="M64" s="80" t="s">
        <v>66</v>
      </c>
      <c r="N64" s="80" t="s">
        <v>66</v>
      </c>
      <c r="O64" s="80" t="s">
        <v>66</v>
      </c>
      <c r="P64" s="80" t="s">
        <v>66</v>
      </c>
      <c r="Q64" s="80" t="s">
        <v>66</v>
      </c>
      <c r="R64" s="80" t="s">
        <v>66</v>
      </c>
      <c r="S64" s="80" t="s">
        <v>66</v>
      </c>
      <c r="T64" s="80" t="s">
        <v>66</v>
      </c>
      <c r="U64" s="85" t="s">
        <v>86</v>
      </c>
    </row>
    <row r="65" spans="1:21" ht="26.4" x14ac:dyDescent="0.3">
      <c r="A65" s="74" t="s">
        <v>225</v>
      </c>
      <c r="B65" s="83" t="s">
        <v>43</v>
      </c>
      <c r="C65" s="108" t="s">
        <v>278</v>
      </c>
      <c r="D65" s="15"/>
      <c r="E65" s="17"/>
      <c r="F65" s="17"/>
      <c r="G65" s="14"/>
      <c r="H65" s="84" t="s">
        <v>77</v>
      </c>
      <c r="I65" s="84" t="s">
        <v>710</v>
      </c>
      <c r="J65" s="80" t="s">
        <v>66</v>
      </c>
      <c r="K65" s="80" t="s">
        <v>66</v>
      </c>
      <c r="L65" s="80" t="s">
        <v>66</v>
      </c>
      <c r="M65" s="80" t="s">
        <v>66</v>
      </c>
      <c r="N65" s="80" t="s">
        <v>66</v>
      </c>
      <c r="O65" s="80" t="s">
        <v>66</v>
      </c>
      <c r="P65" s="80" t="s">
        <v>66</v>
      </c>
      <c r="Q65" s="80" t="s">
        <v>66</v>
      </c>
      <c r="R65" s="80" t="s">
        <v>66</v>
      </c>
      <c r="S65" s="80" t="s">
        <v>66</v>
      </c>
      <c r="T65" s="80" t="s">
        <v>66</v>
      </c>
      <c r="U65" s="85" t="s">
        <v>86</v>
      </c>
    </row>
    <row r="66" spans="1:21" ht="25.8" x14ac:dyDescent="0.3">
      <c r="A66" s="74" t="s">
        <v>226</v>
      </c>
      <c r="B66" s="86" t="s">
        <v>44</v>
      </c>
      <c r="C66" s="108" t="s">
        <v>278</v>
      </c>
      <c r="D66" s="98"/>
      <c r="E66" s="99"/>
      <c r="F66" s="99"/>
      <c r="G66" s="89"/>
      <c r="H66" s="90" t="s">
        <v>77</v>
      </c>
      <c r="I66" s="84" t="s">
        <v>710</v>
      </c>
      <c r="J66" s="80" t="s">
        <v>66</v>
      </c>
      <c r="K66" s="80" t="s">
        <v>66</v>
      </c>
      <c r="L66" s="80" t="s">
        <v>66</v>
      </c>
      <c r="M66" s="80" t="s">
        <v>66</v>
      </c>
      <c r="N66" s="80" t="s">
        <v>66</v>
      </c>
      <c r="O66" s="80" t="s">
        <v>66</v>
      </c>
      <c r="P66" s="80" t="s">
        <v>66</v>
      </c>
      <c r="Q66" s="80" t="s">
        <v>66</v>
      </c>
      <c r="R66" s="80" t="s">
        <v>66</v>
      </c>
      <c r="S66" s="80" t="s">
        <v>66</v>
      </c>
      <c r="T66" s="80" t="s">
        <v>66</v>
      </c>
      <c r="U66" s="91" t="s">
        <v>86</v>
      </c>
    </row>
    <row r="67" spans="1:21" ht="25.8" x14ac:dyDescent="0.3">
      <c r="A67" s="62" t="s">
        <v>227</v>
      </c>
      <c r="B67" s="70" t="s">
        <v>45</v>
      </c>
      <c r="C67" s="70"/>
      <c r="D67" s="63"/>
      <c r="E67" s="63"/>
      <c r="F67" s="63"/>
      <c r="G67" s="64"/>
      <c r="H67" s="147"/>
      <c r="I67" s="147"/>
      <c r="J67" s="147"/>
      <c r="K67" s="147"/>
      <c r="L67" s="147"/>
      <c r="M67" s="147"/>
      <c r="N67" s="147"/>
      <c r="O67" s="147"/>
      <c r="P67" s="147"/>
      <c r="Q67" s="147"/>
      <c r="R67" s="147"/>
      <c r="S67" s="147"/>
      <c r="T67" s="147"/>
      <c r="U67" s="147"/>
    </row>
    <row r="68" spans="1:21" ht="39.6" x14ac:dyDescent="0.3">
      <c r="A68" s="74" t="s">
        <v>228</v>
      </c>
      <c r="B68" s="81" t="s">
        <v>46</v>
      </c>
      <c r="C68" s="108" t="s">
        <v>278</v>
      </c>
      <c r="D68" s="11"/>
      <c r="E68" s="44"/>
      <c r="F68" s="44"/>
      <c r="G68" s="12"/>
      <c r="H68" s="95" t="s">
        <v>77</v>
      </c>
      <c r="I68" s="84" t="s">
        <v>710</v>
      </c>
      <c r="J68" s="82" t="s">
        <v>66</v>
      </c>
      <c r="K68" s="82"/>
      <c r="L68" s="82" t="s">
        <v>66</v>
      </c>
      <c r="M68" s="82"/>
      <c r="N68" s="82"/>
      <c r="O68" s="82"/>
      <c r="P68" s="82"/>
      <c r="Q68" s="82"/>
      <c r="R68" s="82"/>
      <c r="S68" s="82"/>
      <c r="T68" s="82"/>
      <c r="U68" s="82" t="s">
        <v>86</v>
      </c>
    </row>
    <row r="69" spans="1:21" ht="26.4" x14ac:dyDescent="0.3">
      <c r="A69" s="74" t="s">
        <v>229</v>
      </c>
      <c r="B69" s="86" t="s">
        <v>47</v>
      </c>
      <c r="C69" s="108" t="s">
        <v>278</v>
      </c>
      <c r="D69" s="87"/>
      <c r="E69" s="88"/>
      <c r="F69" s="88"/>
      <c r="G69" s="89"/>
      <c r="H69" s="90" t="s">
        <v>77</v>
      </c>
      <c r="I69" s="84" t="s">
        <v>710</v>
      </c>
      <c r="J69" s="91" t="s">
        <v>66</v>
      </c>
      <c r="K69" s="91"/>
      <c r="L69" s="91" t="s">
        <v>66</v>
      </c>
      <c r="M69" s="91"/>
      <c r="N69" s="91"/>
      <c r="O69" s="91"/>
      <c r="P69" s="91"/>
      <c r="Q69" s="91"/>
      <c r="R69" s="91"/>
      <c r="S69" s="91"/>
      <c r="T69" s="91"/>
      <c r="U69" s="91" t="s">
        <v>86</v>
      </c>
    </row>
    <row r="70" spans="1:21" ht="25.8" x14ac:dyDescent="0.3">
      <c r="A70" s="62" t="s">
        <v>230</v>
      </c>
      <c r="B70" s="70" t="s">
        <v>48</v>
      </c>
      <c r="C70" s="70"/>
      <c r="D70" s="63"/>
      <c r="E70" s="63"/>
      <c r="F70" s="63"/>
      <c r="G70" s="64"/>
      <c r="H70" s="147"/>
      <c r="I70" s="147"/>
      <c r="J70" s="147"/>
      <c r="K70" s="147"/>
      <c r="L70" s="147"/>
      <c r="M70" s="147"/>
      <c r="N70" s="147"/>
      <c r="O70" s="147"/>
      <c r="P70" s="147"/>
      <c r="Q70" s="147"/>
      <c r="R70" s="147"/>
      <c r="S70" s="147"/>
      <c r="T70" s="147"/>
      <c r="U70" s="147"/>
    </row>
    <row r="71" spans="1:21" ht="25.8" x14ac:dyDescent="0.3">
      <c r="A71" s="74" t="s">
        <v>231</v>
      </c>
      <c r="B71" s="81" t="s">
        <v>49</v>
      </c>
      <c r="C71" s="108" t="s">
        <v>278</v>
      </c>
      <c r="D71" s="11"/>
      <c r="E71" s="44"/>
      <c r="F71" s="44"/>
      <c r="G71" s="12"/>
      <c r="H71" s="95" t="s">
        <v>77</v>
      </c>
      <c r="I71" s="84" t="s">
        <v>710</v>
      </c>
      <c r="J71" s="82" t="s">
        <v>66</v>
      </c>
      <c r="K71" s="82"/>
      <c r="L71" s="82" t="s">
        <v>66</v>
      </c>
      <c r="M71" s="82"/>
      <c r="N71" s="82"/>
      <c r="O71" s="82"/>
      <c r="P71" s="82"/>
      <c r="Q71" s="82"/>
      <c r="R71" s="82"/>
      <c r="S71" s="82"/>
      <c r="T71" s="82"/>
      <c r="U71" s="82" t="s">
        <v>86</v>
      </c>
    </row>
    <row r="72" spans="1:21" ht="26.4" x14ac:dyDescent="0.3">
      <c r="A72" s="74" t="s">
        <v>232</v>
      </c>
      <c r="B72" s="86" t="s">
        <v>50</v>
      </c>
      <c r="C72" s="108" t="s">
        <v>278</v>
      </c>
      <c r="D72" s="87"/>
      <c r="E72" s="88"/>
      <c r="F72" s="88"/>
      <c r="G72" s="89"/>
      <c r="H72" s="90" t="s">
        <v>77</v>
      </c>
      <c r="I72" s="84" t="s">
        <v>710</v>
      </c>
      <c r="J72" s="91" t="s">
        <v>66</v>
      </c>
      <c r="K72" s="91"/>
      <c r="L72" s="91" t="s">
        <v>66</v>
      </c>
      <c r="M72" s="91"/>
      <c r="N72" s="91"/>
      <c r="O72" s="91"/>
      <c r="P72" s="91"/>
      <c r="Q72" s="91"/>
      <c r="R72" s="91"/>
      <c r="S72" s="91"/>
      <c r="T72" s="91"/>
      <c r="U72" s="91" t="s">
        <v>86</v>
      </c>
    </row>
    <row r="73" spans="1:21" ht="19.2" x14ac:dyDescent="0.3">
      <c r="A73" s="57" t="s">
        <v>233</v>
      </c>
      <c r="B73" s="58" t="s">
        <v>51</v>
      </c>
      <c r="C73" s="58"/>
      <c r="D73" s="52"/>
      <c r="E73" s="52"/>
      <c r="F73" s="52"/>
      <c r="G73" s="67"/>
      <c r="H73" s="147"/>
      <c r="I73" s="147"/>
      <c r="J73" s="147"/>
      <c r="K73" s="147"/>
      <c r="L73" s="147"/>
      <c r="M73" s="147"/>
      <c r="N73" s="147"/>
      <c r="O73" s="147"/>
      <c r="P73" s="147"/>
      <c r="Q73" s="147"/>
      <c r="R73" s="147"/>
      <c r="S73" s="147"/>
      <c r="T73" s="147"/>
      <c r="U73" s="147"/>
    </row>
    <row r="74" spans="1:21" ht="25.8" x14ac:dyDescent="0.3">
      <c r="A74" s="59" t="s">
        <v>234</v>
      </c>
      <c r="B74" s="68" t="s">
        <v>52</v>
      </c>
      <c r="C74" s="68"/>
      <c r="D74" s="60"/>
      <c r="E74" s="60"/>
      <c r="F74" s="60"/>
      <c r="G74" s="69"/>
      <c r="H74" s="147"/>
      <c r="I74" s="147"/>
      <c r="J74" s="147"/>
      <c r="K74" s="147"/>
      <c r="L74" s="147"/>
      <c r="M74" s="147"/>
      <c r="N74" s="147"/>
      <c r="O74" s="147"/>
      <c r="P74" s="147"/>
      <c r="Q74" s="147"/>
      <c r="R74" s="147"/>
      <c r="S74" s="147"/>
      <c r="T74" s="147"/>
      <c r="U74" s="147"/>
    </row>
    <row r="75" spans="1:21" ht="26.4" x14ac:dyDescent="0.3">
      <c r="A75" s="74" t="s">
        <v>235</v>
      </c>
      <c r="B75" s="81" t="s">
        <v>53</v>
      </c>
      <c r="C75" s="108" t="s">
        <v>278</v>
      </c>
      <c r="D75" s="11"/>
      <c r="E75" s="44"/>
      <c r="F75" s="44"/>
      <c r="G75" s="12"/>
      <c r="H75" s="95" t="s">
        <v>77</v>
      </c>
      <c r="I75" s="84" t="s">
        <v>710</v>
      </c>
      <c r="J75" s="82" t="s">
        <v>66</v>
      </c>
      <c r="K75" s="82"/>
      <c r="L75" s="82" t="s">
        <v>66</v>
      </c>
      <c r="M75" s="82"/>
      <c r="N75" s="82"/>
      <c r="O75" s="82"/>
      <c r="P75" s="82"/>
      <c r="Q75" s="82"/>
      <c r="R75" s="82"/>
      <c r="S75" s="82"/>
      <c r="T75" s="82"/>
      <c r="U75" s="82" t="s">
        <v>86</v>
      </c>
    </row>
    <row r="76" spans="1:21" ht="145.19999999999999" x14ac:dyDescent="0.3">
      <c r="A76" s="74" t="s">
        <v>236</v>
      </c>
      <c r="B76" s="106" t="s">
        <v>266</v>
      </c>
      <c r="C76" s="108" t="s">
        <v>278</v>
      </c>
      <c r="D76" s="13"/>
      <c r="E76" s="45"/>
      <c r="F76" s="45"/>
      <c r="G76" s="14"/>
      <c r="H76" s="84" t="s">
        <v>77</v>
      </c>
      <c r="I76" s="84" t="s">
        <v>710</v>
      </c>
      <c r="J76" s="85" t="s">
        <v>66</v>
      </c>
      <c r="K76" s="85"/>
      <c r="L76" s="85" t="s">
        <v>66</v>
      </c>
      <c r="M76" s="85"/>
      <c r="N76" s="85"/>
      <c r="O76" s="85"/>
      <c r="P76" s="85"/>
      <c r="Q76" s="85"/>
      <c r="R76" s="85"/>
      <c r="S76" s="85"/>
      <c r="T76" s="85"/>
      <c r="U76" s="85" t="s">
        <v>86</v>
      </c>
    </row>
    <row r="77" spans="1:21" ht="26.4" x14ac:dyDescent="0.3">
      <c r="A77" s="74" t="s">
        <v>237</v>
      </c>
      <c r="B77" s="86" t="s">
        <v>267</v>
      </c>
      <c r="C77" s="108" t="s">
        <v>278</v>
      </c>
      <c r="D77" s="87"/>
      <c r="E77" s="88"/>
      <c r="F77" s="88"/>
      <c r="G77" s="89"/>
      <c r="H77" s="90" t="s">
        <v>77</v>
      </c>
      <c r="I77" s="84" t="s">
        <v>710</v>
      </c>
      <c r="J77" s="91" t="s">
        <v>66</v>
      </c>
      <c r="K77" s="91"/>
      <c r="L77" s="91" t="s">
        <v>66</v>
      </c>
      <c r="M77" s="91"/>
      <c r="N77" s="91"/>
      <c r="O77" s="91"/>
      <c r="P77" s="91"/>
      <c r="Q77" s="91"/>
      <c r="R77" s="91"/>
      <c r="S77" s="91"/>
      <c r="T77" s="91"/>
      <c r="U77" s="91" t="s">
        <v>86</v>
      </c>
    </row>
    <row r="78" spans="1:21" ht="25.8" x14ac:dyDescent="0.3">
      <c r="A78" s="62" t="s">
        <v>238</v>
      </c>
      <c r="B78" s="70" t="s">
        <v>54</v>
      </c>
      <c r="C78" s="70"/>
      <c r="D78" s="63"/>
      <c r="E78" s="63"/>
      <c r="F78" s="63"/>
      <c r="G78" s="64"/>
      <c r="H78" s="147" t="s">
        <v>710</v>
      </c>
      <c r="I78" s="147"/>
      <c r="J78" s="147"/>
      <c r="K78" s="147"/>
      <c r="L78" s="147"/>
      <c r="M78" s="147"/>
      <c r="N78" s="147"/>
      <c r="O78" s="147"/>
      <c r="P78" s="147"/>
      <c r="Q78" s="147"/>
      <c r="R78" s="147"/>
      <c r="S78" s="147"/>
      <c r="T78" s="147"/>
      <c r="U78" s="147"/>
    </row>
    <row r="79" spans="1:21" ht="66" x14ac:dyDescent="0.3">
      <c r="A79" s="74" t="s">
        <v>239</v>
      </c>
      <c r="B79" s="81" t="s">
        <v>55</v>
      </c>
      <c r="C79" s="108" t="s">
        <v>278</v>
      </c>
      <c r="D79" s="11"/>
      <c r="E79" s="11"/>
      <c r="F79" s="11"/>
      <c r="G79" s="11"/>
      <c r="H79" s="95" t="s">
        <v>77</v>
      </c>
      <c r="I79" s="84" t="s">
        <v>710</v>
      </c>
      <c r="J79" s="82" t="s">
        <v>66</v>
      </c>
      <c r="K79" s="82"/>
      <c r="L79" s="82" t="s">
        <v>66</v>
      </c>
      <c r="M79" s="82"/>
      <c r="N79" s="82"/>
      <c r="O79" s="82"/>
      <c r="P79" s="82"/>
      <c r="Q79" s="82"/>
      <c r="R79" s="82"/>
      <c r="S79" s="82"/>
      <c r="T79" s="82"/>
      <c r="U79" s="82" t="s">
        <v>86</v>
      </c>
    </row>
    <row r="80" spans="1:21" ht="66" x14ac:dyDescent="0.3">
      <c r="A80" s="74" t="s">
        <v>240</v>
      </c>
      <c r="B80" s="83" t="s">
        <v>56</v>
      </c>
      <c r="C80" s="108" t="s">
        <v>278</v>
      </c>
      <c r="D80" s="13"/>
      <c r="E80" s="45"/>
      <c r="F80" s="45"/>
      <c r="G80" s="14"/>
      <c r="H80" s="84" t="s">
        <v>77</v>
      </c>
      <c r="I80" s="84" t="s">
        <v>710</v>
      </c>
      <c r="J80" s="85" t="s">
        <v>66</v>
      </c>
      <c r="K80" s="85"/>
      <c r="L80" s="85" t="s">
        <v>66</v>
      </c>
      <c r="M80" s="85"/>
      <c r="N80" s="85"/>
      <c r="O80" s="85"/>
      <c r="P80" s="85"/>
      <c r="Q80" s="85"/>
      <c r="R80" s="85"/>
      <c r="S80" s="85"/>
      <c r="T80" s="85"/>
      <c r="U80" s="85" t="s">
        <v>86</v>
      </c>
    </row>
    <row r="81" spans="1:21" ht="79.2" x14ac:dyDescent="0.3">
      <c r="A81" s="74" t="s">
        <v>241</v>
      </c>
      <c r="B81" s="86" t="s">
        <v>57</v>
      </c>
      <c r="C81" s="108" t="s">
        <v>278</v>
      </c>
      <c r="D81" s="87"/>
      <c r="E81" s="88"/>
      <c r="F81" s="88"/>
      <c r="G81" s="89"/>
      <c r="H81" s="90" t="s">
        <v>77</v>
      </c>
      <c r="I81" s="84" t="s">
        <v>710</v>
      </c>
      <c r="J81" s="91" t="s">
        <v>66</v>
      </c>
      <c r="K81" s="91"/>
      <c r="L81" s="91" t="s">
        <v>66</v>
      </c>
      <c r="M81" s="91"/>
      <c r="N81" s="91"/>
      <c r="O81" s="91"/>
      <c r="P81" s="91"/>
      <c r="Q81" s="91"/>
      <c r="R81" s="91"/>
      <c r="S81" s="91"/>
      <c r="T81" s="91"/>
      <c r="U81" s="91" t="s">
        <v>86</v>
      </c>
    </row>
    <row r="82" spans="1:21" ht="25.8" x14ac:dyDescent="0.3">
      <c r="A82" s="62" t="s">
        <v>242</v>
      </c>
      <c r="B82" s="70" t="s">
        <v>58</v>
      </c>
      <c r="C82" s="70"/>
      <c r="D82" s="63"/>
      <c r="E82" s="63"/>
      <c r="F82" s="63"/>
      <c r="G82" s="64"/>
      <c r="H82" s="147"/>
      <c r="I82" s="147"/>
      <c r="J82" s="147"/>
      <c r="K82" s="147"/>
      <c r="L82" s="147"/>
      <c r="M82" s="147"/>
      <c r="N82" s="147"/>
      <c r="O82" s="147"/>
      <c r="P82" s="147"/>
      <c r="Q82" s="147"/>
      <c r="R82" s="147"/>
      <c r="S82" s="147"/>
      <c r="T82" s="147"/>
      <c r="U82" s="147"/>
    </row>
    <row r="83" spans="1:21" ht="39.6" x14ac:dyDescent="0.3">
      <c r="A83" s="74" t="s">
        <v>243</v>
      </c>
      <c r="B83" s="81" t="s">
        <v>59</v>
      </c>
      <c r="C83" s="108" t="s">
        <v>278</v>
      </c>
      <c r="D83" s="11"/>
      <c r="E83" s="44"/>
      <c r="F83" s="44"/>
      <c r="G83" s="12"/>
      <c r="H83" s="95" t="s">
        <v>77</v>
      </c>
      <c r="I83" s="84" t="s">
        <v>710</v>
      </c>
      <c r="J83" s="82" t="s">
        <v>66</v>
      </c>
      <c r="K83" s="82"/>
      <c r="L83" s="82" t="s">
        <v>66</v>
      </c>
      <c r="M83" s="82"/>
      <c r="N83" s="82"/>
      <c r="O83" s="82"/>
      <c r="P83" s="82"/>
      <c r="Q83" s="82"/>
      <c r="R83" s="82"/>
      <c r="S83" s="82"/>
      <c r="T83" s="82"/>
      <c r="U83" s="82" t="s">
        <v>86</v>
      </c>
    </row>
    <row r="84" spans="1:21" ht="132" x14ac:dyDescent="0.3">
      <c r="A84" s="74" t="s">
        <v>244</v>
      </c>
      <c r="B84" s="83" t="s">
        <v>268</v>
      </c>
      <c r="C84" s="108" t="s">
        <v>278</v>
      </c>
      <c r="D84" s="13"/>
      <c r="E84" s="45"/>
      <c r="F84" s="45"/>
      <c r="G84" s="14"/>
      <c r="H84" s="84" t="s">
        <v>77</v>
      </c>
      <c r="I84" s="84" t="s">
        <v>710</v>
      </c>
      <c r="J84" s="85" t="s">
        <v>66</v>
      </c>
      <c r="K84" s="85"/>
      <c r="L84" s="85" t="s">
        <v>66</v>
      </c>
      <c r="M84" s="85"/>
      <c r="N84" s="85"/>
      <c r="O84" s="85"/>
      <c r="P84" s="85"/>
      <c r="Q84" s="85"/>
      <c r="R84" s="85"/>
      <c r="S84" s="85"/>
      <c r="T84" s="85"/>
      <c r="U84" s="85" t="s">
        <v>86</v>
      </c>
    </row>
    <row r="85" spans="1:21" ht="39.6" x14ac:dyDescent="0.3">
      <c r="A85" s="74" t="s">
        <v>245</v>
      </c>
      <c r="B85" s="83" t="s">
        <v>60</v>
      </c>
      <c r="C85" s="108" t="s">
        <v>278</v>
      </c>
      <c r="D85" s="13"/>
      <c r="E85" s="45"/>
      <c r="F85" s="45"/>
      <c r="G85" s="14"/>
      <c r="H85" s="84" t="s">
        <v>77</v>
      </c>
      <c r="I85" s="84" t="s">
        <v>710</v>
      </c>
      <c r="J85" s="85" t="s">
        <v>66</v>
      </c>
      <c r="K85" s="85"/>
      <c r="L85" s="85" t="s">
        <v>66</v>
      </c>
      <c r="M85" s="85"/>
      <c r="N85" s="85"/>
      <c r="O85" s="85"/>
      <c r="P85" s="85"/>
      <c r="Q85" s="85"/>
      <c r="R85" s="85"/>
      <c r="S85" s="85"/>
      <c r="T85" s="85"/>
      <c r="U85" s="85" t="s">
        <v>86</v>
      </c>
    </row>
    <row r="86" spans="1:21" ht="26.4" x14ac:dyDescent="0.3">
      <c r="A86" s="74" t="s">
        <v>246</v>
      </c>
      <c r="B86" s="86" t="s">
        <v>61</v>
      </c>
      <c r="C86" s="108" t="s">
        <v>278</v>
      </c>
      <c r="D86" s="87"/>
      <c r="E86" s="88"/>
      <c r="F86" s="88"/>
      <c r="G86" s="89"/>
      <c r="H86" s="90" t="s">
        <v>77</v>
      </c>
      <c r="I86" s="84" t="s">
        <v>710</v>
      </c>
      <c r="J86" s="91" t="s">
        <v>66</v>
      </c>
      <c r="K86" s="91"/>
      <c r="L86" s="91" t="s">
        <v>66</v>
      </c>
      <c r="M86" s="91"/>
      <c r="N86" s="91"/>
      <c r="O86" s="91"/>
      <c r="P86" s="91"/>
      <c r="Q86" s="91"/>
      <c r="R86" s="91"/>
      <c r="S86" s="91"/>
      <c r="T86" s="91"/>
      <c r="U86" s="91" t="s">
        <v>86</v>
      </c>
    </row>
    <row r="87" spans="1:21" ht="21" x14ac:dyDescent="0.3">
      <c r="A87" s="57" t="s">
        <v>247</v>
      </c>
      <c r="B87" s="58" t="s">
        <v>62</v>
      </c>
      <c r="C87" s="58"/>
      <c r="D87" s="52"/>
      <c r="E87" s="52"/>
      <c r="F87" s="52"/>
      <c r="G87" s="67"/>
      <c r="H87" s="147"/>
      <c r="I87" s="147"/>
      <c r="J87" s="147"/>
      <c r="K87" s="147"/>
      <c r="L87" s="147"/>
      <c r="M87" s="147"/>
      <c r="N87" s="147"/>
      <c r="O87" s="147"/>
      <c r="P87" s="147"/>
      <c r="Q87" s="147"/>
      <c r="R87" s="147"/>
      <c r="S87" s="147"/>
      <c r="T87" s="147"/>
      <c r="U87" s="147"/>
    </row>
    <row r="88" spans="1:21" ht="27.6" x14ac:dyDescent="0.3">
      <c r="A88" s="59" t="s">
        <v>248</v>
      </c>
      <c r="B88" s="68" t="s">
        <v>464</v>
      </c>
      <c r="C88" s="68"/>
      <c r="D88" s="60"/>
      <c r="E88" s="60"/>
      <c r="F88" s="60"/>
      <c r="G88" s="69"/>
      <c r="H88" s="147"/>
      <c r="I88" s="147"/>
      <c r="J88" s="147"/>
      <c r="K88" s="147"/>
      <c r="L88" s="147"/>
      <c r="M88" s="147"/>
      <c r="N88" s="147"/>
      <c r="O88" s="147"/>
      <c r="P88" s="147"/>
      <c r="Q88" s="147"/>
      <c r="R88" s="147"/>
      <c r="S88" s="147"/>
      <c r="T88" s="147"/>
      <c r="U88" s="147"/>
    </row>
    <row r="89" spans="1:21" ht="27.6" x14ac:dyDescent="0.3">
      <c r="A89" s="74" t="s">
        <v>250</v>
      </c>
      <c r="B89" s="81" t="s">
        <v>64</v>
      </c>
      <c r="C89" s="108" t="s">
        <v>278</v>
      </c>
      <c r="D89" s="11"/>
      <c r="E89" s="44"/>
      <c r="F89" s="44"/>
      <c r="G89" s="107"/>
      <c r="H89" s="95" t="s">
        <v>77</v>
      </c>
      <c r="I89" s="84" t="s">
        <v>710</v>
      </c>
      <c r="J89" s="82" t="s">
        <v>66</v>
      </c>
      <c r="K89" s="82"/>
      <c r="L89" s="82" t="s">
        <v>66</v>
      </c>
      <c r="M89" s="82"/>
      <c r="N89" s="82"/>
      <c r="O89" s="82"/>
      <c r="P89" s="82"/>
      <c r="Q89" s="82"/>
      <c r="R89" s="82"/>
      <c r="S89" s="82"/>
      <c r="T89" s="82"/>
      <c r="U89" s="82" t="s">
        <v>86</v>
      </c>
    </row>
    <row r="90" spans="1:21" ht="27.6" x14ac:dyDescent="0.3">
      <c r="A90" s="62" t="s">
        <v>249</v>
      </c>
      <c r="B90" s="70" t="s">
        <v>463</v>
      </c>
      <c r="C90" s="70"/>
      <c r="D90" s="63"/>
      <c r="E90" s="63"/>
      <c r="F90" s="63"/>
      <c r="G90" s="64"/>
      <c r="H90" s="147"/>
      <c r="I90" s="147"/>
      <c r="J90" s="147"/>
      <c r="K90" s="147"/>
      <c r="L90" s="147"/>
      <c r="M90" s="147"/>
      <c r="N90" s="147"/>
      <c r="O90" s="147"/>
      <c r="P90" s="147"/>
      <c r="Q90" s="147"/>
      <c r="R90" s="147"/>
      <c r="S90" s="147"/>
      <c r="T90" s="147"/>
      <c r="U90" s="147"/>
    </row>
    <row r="91" spans="1:21" ht="132" x14ac:dyDescent="0.3">
      <c r="A91" s="74" t="s">
        <v>250</v>
      </c>
      <c r="B91" s="81" t="s">
        <v>269</v>
      </c>
      <c r="C91" s="108" t="s">
        <v>278</v>
      </c>
      <c r="D91" s="11"/>
      <c r="E91" s="44"/>
      <c r="F91" s="44"/>
      <c r="G91" s="107"/>
      <c r="H91" s="95" t="s">
        <v>77</v>
      </c>
      <c r="I91" s="84" t="s">
        <v>710</v>
      </c>
      <c r="J91" s="82" t="s">
        <v>66</v>
      </c>
      <c r="K91" s="82"/>
      <c r="L91" s="82" t="s">
        <v>66</v>
      </c>
      <c r="M91" s="82"/>
      <c r="N91" s="82"/>
      <c r="O91" s="82"/>
      <c r="P91" s="82"/>
      <c r="Q91" s="82"/>
      <c r="R91" s="82"/>
      <c r="S91" s="82"/>
      <c r="T91" s="82"/>
      <c r="U91" s="82" t="s">
        <v>86</v>
      </c>
    </row>
    <row r="92" spans="1:21" ht="27.6" x14ac:dyDescent="0.3">
      <c r="A92" s="74" t="s">
        <v>465</v>
      </c>
      <c r="B92" s="83" t="s">
        <v>63</v>
      </c>
      <c r="C92" s="108" t="s">
        <v>278</v>
      </c>
      <c r="D92" s="13"/>
      <c r="E92" s="45"/>
      <c r="F92" s="45"/>
      <c r="G92" s="16"/>
      <c r="H92" s="84" t="s">
        <v>82</v>
      </c>
      <c r="I92" s="84" t="s">
        <v>710</v>
      </c>
      <c r="J92" s="85" t="s">
        <v>66</v>
      </c>
      <c r="K92" s="85" t="s">
        <v>66</v>
      </c>
      <c r="L92" s="85" t="s">
        <v>66</v>
      </c>
      <c r="M92" s="85" t="s">
        <v>66</v>
      </c>
      <c r="N92" s="85" t="s">
        <v>66</v>
      </c>
      <c r="O92" s="85" t="s">
        <v>66</v>
      </c>
      <c r="P92" s="85" t="s">
        <v>66</v>
      </c>
      <c r="Q92" s="85" t="s">
        <v>66</v>
      </c>
      <c r="R92" s="85" t="s">
        <v>66</v>
      </c>
      <c r="S92" s="85" t="s">
        <v>66</v>
      </c>
      <c r="T92" s="85" t="s">
        <v>66</v>
      </c>
      <c r="U92" s="85" t="s">
        <v>86</v>
      </c>
    </row>
    <row r="93" spans="1:21" ht="39.6" x14ac:dyDescent="0.3">
      <c r="A93" s="111" t="s">
        <v>466</v>
      </c>
      <c r="B93" s="83" t="s">
        <v>270</v>
      </c>
      <c r="C93" s="108" t="s">
        <v>278</v>
      </c>
      <c r="D93" s="13"/>
      <c r="E93" s="45"/>
      <c r="F93" s="45"/>
      <c r="G93" s="16"/>
      <c r="H93" s="84" t="s">
        <v>77</v>
      </c>
      <c r="I93" s="84" t="s">
        <v>710</v>
      </c>
      <c r="J93" s="85" t="s">
        <v>66</v>
      </c>
      <c r="K93" s="85" t="s">
        <v>66</v>
      </c>
      <c r="L93" s="85" t="s">
        <v>66</v>
      </c>
      <c r="M93" s="85" t="s">
        <v>66</v>
      </c>
      <c r="N93" s="85" t="s">
        <v>66</v>
      </c>
      <c r="O93" s="85" t="s">
        <v>66</v>
      </c>
      <c r="P93" s="85" t="s">
        <v>66</v>
      </c>
      <c r="Q93" s="85" t="s">
        <v>66</v>
      </c>
      <c r="R93" s="85" t="s">
        <v>66</v>
      </c>
      <c r="S93" s="85" t="s">
        <v>66</v>
      </c>
      <c r="T93" s="85" t="s">
        <v>66</v>
      </c>
      <c r="U93" s="85" t="s">
        <v>86</v>
      </c>
    </row>
    <row r="94" spans="1:21" x14ac:dyDescent="0.3"/>
    <row r="95" spans="1:21" x14ac:dyDescent="0.3">
      <c r="B95" s="24" t="s">
        <v>83</v>
      </c>
      <c r="C95" s="21" t="s">
        <v>84</v>
      </c>
      <c r="G95" s="24" t="s">
        <v>83</v>
      </c>
      <c r="H95" s="21" t="s">
        <v>84</v>
      </c>
    </row>
    <row r="96" spans="1:21" x14ac:dyDescent="0.3">
      <c r="B96" s="123"/>
      <c r="C96" s="124">
        <f>54-C97-C98</f>
        <v>-1</v>
      </c>
      <c r="G96" s="24"/>
      <c r="H96" s="21">
        <f t="shared" ref="H96:H101" si="0">COUNTIF($H$3:$H$93,G96)</f>
        <v>0</v>
      </c>
    </row>
    <row r="97" spans="2:9" x14ac:dyDescent="0.3">
      <c r="B97" s="119" t="s">
        <v>278</v>
      </c>
      <c r="C97" s="120">
        <f>COUNTIF($C$3:$C$93,B97)</f>
        <v>55</v>
      </c>
      <c r="G97" s="24" t="s">
        <v>160</v>
      </c>
      <c r="H97" s="21">
        <f t="shared" si="0"/>
        <v>1</v>
      </c>
      <c r="I97" s="1"/>
    </row>
    <row r="98" spans="2:9" x14ac:dyDescent="0.3">
      <c r="B98" s="121" t="s">
        <v>471</v>
      </c>
      <c r="C98" s="122">
        <f>COUNTIF($C$3:$C$93,B98)</f>
        <v>0</v>
      </c>
      <c r="G98" s="25" t="s">
        <v>77</v>
      </c>
      <c r="H98" s="26">
        <f t="shared" si="0"/>
        <v>49</v>
      </c>
      <c r="I98" s="1"/>
    </row>
    <row r="99" spans="2:9" x14ac:dyDescent="0.3">
      <c r="G99" s="27" t="s">
        <v>78</v>
      </c>
      <c r="H99" s="28">
        <f t="shared" si="0"/>
        <v>1</v>
      </c>
      <c r="I99" s="1"/>
    </row>
    <row r="100" spans="2:9" x14ac:dyDescent="0.3">
      <c r="G100" s="29" t="s">
        <v>82</v>
      </c>
      <c r="H100" s="30">
        <f t="shared" si="0"/>
        <v>2</v>
      </c>
      <c r="I100" s="1"/>
    </row>
    <row r="101" spans="2:9" x14ac:dyDescent="0.3">
      <c r="G101" s="31" t="s">
        <v>81</v>
      </c>
      <c r="H101" s="32">
        <f t="shared" si="0"/>
        <v>2</v>
      </c>
      <c r="I101" s="1"/>
    </row>
    <row r="102" spans="2:9" x14ac:dyDescent="0.3"/>
  </sheetData>
  <sheetProtection selectLockedCells="1" sort="0" autoFilter="0"/>
  <autoFilter ref="A2:U93" xr:uid="{DD04C26E-DAD0-4354-A3D1-8E83AE02EE28}"/>
  <mergeCells count="33">
    <mergeCell ref="J1:T1"/>
    <mergeCell ref="B3:U3"/>
    <mergeCell ref="B4:U4"/>
    <mergeCell ref="H17:U17"/>
    <mergeCell ref="B14:U14"/>
    <mergeCell ref="B15:U15"/>
    <mergeCell ref="B20:U20"/>
    <mergeCell ref="H28:U28"/>
    <mergeCell ref="H31:U31"/>
    <mergeCell ref="B23:U23"/>
    <mergeCell ref="B24:U24"/>
    <mergeCell ref="B25:U25"/>
    <mergeCell ref="H34:U34"/>
    <mergeCell ref="H41:U41"/>
    <mergeCell ref="H42:U42"/>
    <mergeCell ref="H44:U44"/>
    <mergeCell ref="H46:U46"/>
    <mergeCell ref="H39:U39"/>
    <mergeCell ref="H48:U48"/>
    <mergeCell ref="H51:U51"/>
    <mergeCell ref="H52:U52"/>
    <mergeCell ref="H56:U56"/>
    <mergeCell ref="H60:U60"/>
    <mergeCell ref="H61:U61"/>
    <mergeCell ref="H67:U67"/>
    <mergeCell ref="H70:U70"/>
    <mergeCell ref="H73:U73"/>
    <mergeCell ref="H90:U90"/>
    <mergeCell ref="H74:U74"/>
    <mergeCell ref="H78:U78"/>
    <mergeCell ref="H82:U82"/>
    <mergeCell ref="H87:U87"/>
    <mergeCell ref="H88:U88"/>
  </mergeCells>
  <conditionalFormatting sqref="C1 C5 C7 C9:C11 C13 C16:C19 C21:C22 C26:C94 C99:C1048576">
    <cfRule type="cellIs" dxfId="687" priority="300" operator="equal">
      <formula>"Included"</formula>
    </cfRule>
    <cfRule type="cellIs" dxfId="686" priority="299" operator="equal">
      <formula>"Excluded"</formula>
    </cfRule>
  </conditionalFormatting>
  <conditionalFormatting sqref="C95:C98">
    <cfRule type="cellIs" dxfId="685" priority="224" operator="equal">
      <formula>"NC+"</formula>
    </cfRule>
    <cfRule type="cellIs" dxfId="684" priority="223" operator="equal">
      <formula>"nc-"</formula>
    </cfRule>
    <cfRule type="cellIs" dxfId="683" priority="222" operator="equal">
      <formula>"OK"</formula>
    </cfRule>
    <cfRule type="cellIs" dxfId="682" priority="221" operator="equal">
      <formula>"OFI"</formula>
    </cfRule>
  </conditionalFormatting>
  <conditionalFormatting sqref="H5:I5">
    <cfRule type="cellIs" dxfId="681" priority="220" operator="equal">
      <formula>"NC+"</formula>
    </cfRule>
    <cfRule type="cellIs" dxfId="680" priority="219" operator="equal">
      <formula>"nc-"</formula>
    </cfRule>
    <cfRule type="cellIs" dxfId="679" priority="218" operator="equal">
      <formula>"OK"</formula>
    </cfRule>
    <cfRule type="cellIs" dxfId="678" priority="217" operator="equal">
      <formula>"OFI"</formula>
    </cfRule>
  </conditionalFormatting>
  <conditionalFormatting sqref="H7:I7">
    <cfRule type="cellIs" dxfId="677" priority="202" operator="equal">
      <formula>"OK"</formula>
    </cfRule>
    <cfRule type="cellIs" dxfId="676" priority="201" operator="equal">
      <formula>"OFI"</formula>
    </cfRule>
    <cfRule type="cellIs" dxfId="675" priority="204" operator="equal">
      <formula>"NC+"</formula>
    </cfRule>
    <cfRule type="cellIs" dxfId="674" priority="203" operator="equal">
      <formula>"nc-"</formula>
    </cfRule>
  </conditionalFormatting>
  <conditionalFormatting sqref="H9:I11">
    <cfRule type="cellIs" dxfId="673" priority="192" operator="equal">
      <formula>"NC+"</formula>
    </cfRule>
    <cfRule type="cellIs" dxfId="672" priority="191" operator="equal">
      <formula>"nc-"</formula>
    </cfRule>
    <cfRule type="cellIs" dxfId="671" priority="190" operator="equal">
      <formula>"OK"</formula>
    </cfRule>
    <cfRule type="cellIs" dxfId="670" priority="189" operator="equal">
      <formula>"OFI"</formula>
    </cfRule>
  </conditionalFormatting>
  <conditionalFormatting sqref="H13:I13">
    <cfRule type="cellIs" dxfId="669" priority="186" operator="equal">
      <formula>"OK"</formula>
    </cfRule>
    <cfRule type="cellIs" dxfId="668" priority="185" operator="equal">
      <formula>"OFI"</formula>
    </cfRule>
    <cfRule type="cellIs" dxfId="667" priority="188" operator="equal">
      <formula>"NC+"</formula>
    </cfRule>
    <cfRule type="cellIs" dxfId="666" priority="187" operator="equal">
      <formula>"nc-"</formula>
    </cfRule>
  </conditionalFormatting>
  <conditionalFormatting sqref="H16:I16">
    <cfRule type="cellIs" dxfId="665" priority="184" operator="equal">
      <formula>"NC+"</formula>
    </cfRule>
    <cfRule type="cellIs" dxfId="664" priority="183" operator="equal">
      <formula>"nc-"</formula>
    </cfRule>
    <cfRule type="cellIs" dxfId="663" priority="182" operator="equal">
      <formula>"OK"</formula>
    </cfRule>
    <cfRule type="cellIs" dxfId="662" priority="181" operator="equal">
      <formula>"OFI"</formula>
    </cfRule>
  </conditionalFormatting>
  <conditionalFormatting sqref="H18:I19">
    <cfRule type="cellIs" dxfId="661" priority="176" operator="equal">
      <formula>"NC+"</formula>
    </cfRule>
    <cfRule type="cellIs" dxfId="660" priority="175" operator="equal">
      <formula>"nc-"</formula>
    </cfRule>
    <cfRule type="cellIs" dxfId="659" priority="174" operator="equal">
      <formula>"OK"</formula>
    </cfRule>
    <cfRule type="cellIs" dxfId="658" priority="173" operator="equal">
      <formula>"OFI"</formula>
    </cfRule>
  </conditionalFormatting>
  <conditionalFormatting sqref="H21:I22">
    <cfRule type="cellIs" dxfId="657" priority="168" operator="equal">
      <formula>"NC+"</formula>
    </cfRule>
    <cfRule type="cellIs" dxfId="656" priority="167" operator="equal">
      <formula>"nc-"</formula>
    </cfRule>
    <cfRule type="cellIs" dxfId="655" priority="166" operator="equal">
      <formula>"OK"</formula>
    </cfRule>
    <cfRule type="cellIs" dxfId="654" priority="165" operator="equal">
      <formula>"OFI"</formula>
    </cfRule>
  </conditionalFormatting>
  <conditionalFormatting sqref="H26:I27">
    <cfRule type="cellIs" dxfId="653" priority="160" operator="equal">
      <formula>"NC+"</formula>
    </cfRule>
    <cfRule type="cellIs" dxfId="652" priority="159" operator="equal">
      <formula>"nc-"</formula>
    </cfRule>
    <cfRule type="cellIs" dxfId="651" priority="158" operator="equal">
      <formula>"OK"</formula>
    </cfRule>
    <cfRule type="cellIs" dxfId="650" priority="157" operator="equal">
      <formula>"OFI"</formula>
    </cfRule>
  </conditionalFormatting>
  <conditionalFormatting sqref="H29:I30">
    <cfRule type="cellIs" dxfId="649" priority="152" operator="equal">
      <formula>"NC+"</formula>
    </cfRule>
    <cfRule type="cellIs" dxfId="648" priority="151" operator="equal">
      <formula>"nc-"</formula>
    </cfRule>
    <cfRule type="cellIs" dxfId="647" priority="150" operator="equal">
      <formula>"OK"</formula>
    </cfRule>
    <cfRule type="cellIs" dxfId="646" priority="149" operator="equal">
      <formula>"OFI"</formula>
    </cfRule>
  </conditionalFormatting>
  <conditionalFormatting sqref="H32:I33">
    <cfRule type="cellIs" dxfId="645" priority="141" operator="equal">
      <formula>"OFI"</formula>
    </cfRule>
    <cfRule type="cellIs" dxfId="644" priority="142" operator="equal">
      <formula>"OK"</formula>
    </cfRule>
    <cfRule type="cellIs" dxfId="643" priority="144" operator="equal">
      <formula>"NC+"</formula>
    </cfRule>
    <cfRule type="cellIs" dxfId="642" priority="143" operator="equal">
      <formula>"nc-"</formula>
    </cfRule>
  </conditionalFormatting>
  <conditionalFormatting sqref="H35:I38 H40:I40">
    <cfRule type="cellIs" dxfId="641" priority="128" operator="equal">
      <formula>"NC+"</formula>
    </cfRule>
    <cfRule type="cellIs" dxfId="640" priority="127" operator="equal">
      <formula>"nc-"</formula>
    </cfRule>
    <cfRule type="cellIs" dxfId="639" priority="126" operator="equal">
      <formula>"OK"</formula>
    </cfRule>
    <cfRule type="cellIs" dxfId="638" priority="125" operator="equal">
      <formula>"OFI"</formula>
    </cfRule>
  </conditionalFormatting>
  <conditionalFormatting sqref="H43:I43">
    <cfRule type="cellIs" dxfId="637" priority="123" operator="equal">
      <formula>"nc-"</formula>
    </cfRule>
    <cfRule type="cellIs" dxfId="636" priority="124" operator="equal">
      <formula>"NC+"</formula>
    </cfRule>
    <cfRule type="cellIs" dxfId="635" priority="121" operator="equal">
      <formula>"OFI"</formula>
    </cfRule>
    <cfRule type="cellIs" dxfId="634" priority="122" operator="equal">
      <formula>"OK"</formula>
    </cfRule>
  </conditionalFormatting>
  <conditionalFormatting sqref="H45:I45">
    <cfRule type="cellIs" dxfId="633" priority="119" operator="equal">
      <formula>"nc-"</formula>
    </cfRule>
    <cfRule type="cellIs" dxfId="632" priority="120" operator="equal">
      <formula>"NC+"</formula>
    </cfRule>
    <cfRule type="cellIs" dxfId="631" priority="118" operator="equal">
      <formula>"OK"</formula>
    </cfRule>
    <cfRule type="cellIs" dxfId="630" priority="117" operator="equal">
      <formula>"OFI"</formula>
    </cfRule>
  </conditionalFormatting>
  <conditionalFormatting sqref="H47:I47">
    <cfRule type="cellIs" dxfId="629" priority="116" operator="equal">
      <formula>"NC+"</formula>
    </cfRule>
    <cfRule type="cellIs" dxfId="628" priority="115" operator="equal">
      <formula>"nc-"</formula>
    </cfRule>
    <cfRule type="cellIs" dxfId="627" priority="114" operator="equal">
      <formula>"OK"</formula>
    </cfRule>
    <cfRule type="cellIs" dxfId="626" priority="113" operator="equal">
      <formula>"OFI"</formula>
    </cfRule>
  </conditionalFormatting>
  <conditionalFormatting sqref="H49:I50">
    <cfRule type="cellIs" dxfId="625" priority="108" operator="equal">
      <formula>"NC+"</formula>
    </cfRule>
    <cfRule type="cellIs" dxfId="624" priority="107" operator="equal">
      <formula>"nc-"</formula>
    </cfRule>
    <cfRule type="cellIs" dxfId="623" priority="106" operator="equal">
      <formula>"OK"</formula>
    </cfRule>
    <cfRule type="cellIs" dxfId="622" priority="105" operator="equal">
      <formula>"OFI"</formula>
    </cfRule>
  </conditionalFormatting>
  <conditionalFormatting sqref="H53:I53">
    <cfRule type="cellIs" dxfId="621" priority="104" operator="equal">
      <formula>"NC+"</formula>
    </cfRule>
    <cfRule type="cellIs" dxfId="620" priority="103" operator="equal">
      <formula>"nc-"</formula>
    </cfRule>
    <cfRule type="cellIs" dxfId="619" priority="102" operator="equal">
      <formula>"OK"</formula>
    </cfRule>
    <cfRule type="cellIs" dxfId="618" priority="101" operator="equal">
      <formula>"OFI"</formula>
    </cfRule>
  </conditionalFormatting>
  <conditionalFormatting sqref="H55:I55">
    <cfRule type="cellIs" dxfId="617" priority="98" operator="equal">
      <formula>"OK"</formula>
    </cfRule>
    <cfRule type="cellIs" dxfId="616" priority="97" operator="equal">
      <formula>"OFI"</formula>
    </cfRule>
    <cfRule type="cellIs" dxfId="615" priority="100" operator="equal">
      <formula>"NC+"</formula>
    </cfRule>
    <cfRule type="cellIs" dxfId="614" priority="99" operator="equal">
      <formula>"nc-"</formula>
    </cfRule>
  </conditionalFormatting>
  <conditionalFormatting sqref="H57:I59">
    <cfRule type="cellIs" dxfId="613" priority="88" operator="equal">
      <formula>"NC+"</formula>
    </cfRule>
    <cfRule type="cellIs" dxfId="612" priority="87" operator="equal">
      <formula>"nc-"</formula>
    </cfRule>
    <cfRule type="cellIs" dxfId="611" priority="86" operator="equal">
      <formula>"OK"</formula>
    </cfRule>
    <cfRule type="cellIs" dxfId="610" priority="85" operator="equal">
      <formula>"OFI"</formula>
    </cfRule>
  </conditionalFormatting>
  <conditionalFormatting sqref="H62:I66">
    <cfRule type="cellIs" dxfId="609" priority="66" operator="equal">
      <formula>"OK"</formula>
    </cfRule>
    <cfRule type="cellIs" dxfId="608" priority="65" operator="equal">
      <formula>"OFI"</formula>
    </cfRule>
    <cfRule type="cellIs" dxfId="607" priority="68" operator="equal">
      <formula>"NC+"</formula>
    </cfRule>
    <cfRule type="cellIs" dxfId="606" priority="67" operator="equal">
      <formula>"nc-"</formula>
    </cfRule>
  </conditionalFormatting>
  <conditionalFormatting sqref="H68:I69">
    <cfRule type="cellIs" dxfId="605" priority="60" operator="equal">
      <formula>"NC+"</formula>
    </cfRule>
    <cfRule type="cellIs" dxfId="604" priority="59" operator="equal">
      <formula>"nc-"</formula>
    </cfRule>
    <cfRule type="cellIs" dxfId="603" priority="58" operator="equal">
      <formula>"OK"</formula>
    </cfRule>
    <cfRule type="cellIs" dxfId="602" priority="57" operator="equal">
      <formula>"OFI"</formula>
    </cfRule>
  </conditionalFormatting>
  <conditionalFormatting sqref="H71:I72">
    <cfRule type="cellIs" dxfId="601" priority="52" operator="equal">
      <formula>"NC+"</formula>
    </cfRule>
    <cfRule type="cellIs" dxfId="600" priority="51" operator="equal">
      <formula>"nc-"</formula>
    </cfRule>
    <cfRule type="cellIs" dxfId="599" priority="50" operator="equal">
      <formula>"OK"</formula>
    </cfRule>
    <cfRule type="cellIs" dxfId="598" priority="49" operator="equal">
      <formula>"OFI"</formula>
    </cfRule>
  </conditionalFormatting>
  <conditionalFormatting sqref="H75:I77">
    <cfRule type="cellIs" dxfId="597" priority="35" operator="equal">
      <formula>"nc-"</formula>
    </cfRule>
    <cfRule type="cellIs" dxfId="596" priority="36" operator="equal">
      <formula>"NC+"</formula>
    </cfRule>
    <cfRule type="cellIs" dxfId="595" priority="34" operator="equal">
      <formula>"OK"</formula>
    </cfRule>
    <cfRule type="cellIs" dxfId="594" priority="33" operator="equal">
      <formula>"OFI"</formula>
    </cfRule>
  </conditionalFormatting>
  <conditionalFormatting sqref="H79:I81">
    <cfRule type="cellIs" dxfId="593" priority="40" operator="equal">
      <formula>"NC+"</formula>
    </cfRule>
    <cfRule type="cellIs" dxfId="592" priority="39" operator="equal">
      <formula>"nc-"</formula>
    </cfRule>
    <cfRule type="cellIs" dxfId="591" priority="38" operator="equal">
      <formula>"OK"</formula>
    </cfRule>
    <cfRule type="cellIs" dxfId="590" priority="37" operator="equal">
      <formula>"OFI"</formula>
    </cfRule>
  </conditionalFormatting>
  <conditionalFormatting sqref="H83:I86">
    <cfRule type="cellIs" dxfId="589" priority="20" operator="equal">
      <formula>"NC+"</formula>
    </cfRule>
    <cfRule type="cellIs" dxfId="588" priority="19" operator="equal">
      <formula>"nc-"</formula>
    </cfRule>
    <cfRule type="cellIs" dxfId="587" priority="18" operator="equal">
      <formula>"OK"</formula>
    </cfRule>
    <cfRule type="cellIs" dxfId="586" priority="17" operator="equal">
      <formula>"OFI"</formula>
    </cfRule>
  </conditionalFormatting>
  <conditionalFormatting sqref="H89:I89">
    <cfRule type="cellIs" dxfId="585" priority="13" operator="equal">
      <formula>"OFI"</formula>
    </cfRule>
    <cfRule type="cellIs" dxfId="584" priority="14" operator="equal">
      <formula>"OK"</formula>
    </cfRule>
    <cfRule type="cellIs" dxfId="583" priority="16" operator="equal">
      <formula>"NC+"</formula>
    </cfRule>
    <cfRule type="cellIs" dxfId="582" priority="15" operator="equal">
      <formula>"nc-"</formula>
    </cfRule>
  </conditionalFormatting>
  <conditionalFormatting sqref="H91:I93">
    <cfRule type="cellIs" dxfId="581" priority="2" operator="equal">
      <formula>"OK"</formula>
    </cfRule>
    <cfRule type="cellIs" dxfId="580" priority="3" operator="equal">
      <formula>"nc-"</formula>
    </cfRule>
    <cfRule type="cellIs" dxfId="579" priority="4" operator="equal">
      <formula>"NC+"</formula>
    </cfRule>
    <cfRule type="cellIs" dxfId="578" priority="1" operator="equal">
      <formula>"OFI"</formula>
    </cfRule>
  </conditionalFormatting>
  <conditionalFormatting sqref="H95:I96 H97:H101">
    <cfRule type="cellIs" dxfId="577" priority="733" operator="equal">
      <formula>"OFI"</formula>
    </cfRule>
    <cfRule type="cellIs" dxfId="576" priority="734" operator="equal">
      <formula>"OK"</formula>
    </cfRule>
    <cfRule type="cellIs" dxfId="575" priority="735" operator="equal">
      <formula>"nc-"</formula>
    </cfRule>
    <cfRule type="cellIs" dxfId="574" priority="736" operator="equal">
      <formula>"NC+"</formula>
    </cfRule>
  </conditionalFormatting>
  <dataValidations count="3">
    <dataValidation type="list" allowBlank="1" showInputMessage="1" showErrorMessage="1" sqref="U5 U7 U9 U11 U13 U16 U18:U19 U21:U22 U26:U27 U29 U32:U33 U91:U93 U43 U45 U47 U49:U50 U53 U55 U57:U59 U62:U66 U68:U69 U71:U72 U75:U77 U79:U81 U83:U86 U89 U35:U38 U40" xr:uid="{68916C3E-8869-40F9-8875-AB17BE21D120}">
      <formula1>"Yes,No"</formula1>
    </dataValidation>
    <dataValidation type="list" allowBlank="1" showInputMessage="1" showErrorMessage="1" sqref="C5 C16 C7 C9:C11 C13 C18:C19 C21:C22 C26:C27 C29:C30 C32:C33 C89:C93 C43 C45 C47 C49:C50 C53 C55 C57:C59 C62:C66 C68:C69 C71:C72 C75:C77 C79:C81 C83:C86 C35:C38 C40" xr:uid="{F861FD1D-F19D-406D-82C2-3E1361763390}">
      <formula1>"Included, Excluded"</formula1>
    </dataValidation>
    <dataValidation type="list" allowBlank="1" showInputMessage="1" showErrorMessage="1" sqref="H5 H89 H83:H86 H79:H81 H71:H72 H68:H69 H62:H66 H57:H59 H55 H53 H49:H50 H47 H45 H43 H91:H93 H32:H33 H29:H30 H26:H27 H21:H22 H18:H19 H16 H13 H9:H11 H75:H77 H7 H35:H38 H40" xr:uid="{4400A425-8A1A-4BB9-A7C2-2BA196F6FD2F}">
      <formula1>$G$96:$G$101</formula1>
    </dataValidation>
  </dataValidations>
  <pageMargins left="0.7" right="0.7" top="0.78740157499999996" bottom="0.78740157499999996" header="0.3" footer="0.3"/>
  <pageSetup paperSize="9" scale="5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91CF-F6FE-4C2B-A433-0262CC921579}">
  <sheetPr>
    <tabColor rgb="FF0070C0"/>
  </sheetPr>
  <dimension ref="A1:V201"/>
  <sheetViews>
    <sheetView zoomScale="55" zoomScaleNormal="55" workbookViewId="0">
      <pane xSplit="2" ySplit="2" topLeftCell="C3" activePane="bottomRight" state="frozenSplit"/>
      <selection pane="topRight" activeCell="C1" sqref="C1"/>
      <selection pane="bottomLeft" activeCell="A3" sqref="A3"/>
      <selection pane="bottomRight" activeCell="I5" sqref="I5"/>
    </sheetView>
  </sheetViews>
  <sheetFormatPr defaultColWidth="0" defaultRowHeight="14.4" zeroHeight="1" x14ac:dyDescent="0.3"/>
  <cols>
    <col min="1" max="1" width="2.109375" bestFit="1" customWidth="1"/>
    <col min="2" max="2" width="70.6640625" customWidth="1"/>
    <col min="3" max="3" width="36.6640625" bestFit="1" customWidth="1"/>
    <col min="4" max="4" width="17.6640625" bestFit="1" customWidth="1"/>
    <col min="5" max="5" width="30.6640625" bestFit="1" customWidth="1"/>
    <col min="6" max="6" width="34" bestFit="1" customWidth="1"/>
    <col min="7" max="7" width="23.109375" bestFit="1" customWidth="1"/>
    <col min="8" max="8" width="36.109375" bestFit="1" customWidth="1"/>
    <col min="9" max="9" width="29.44140625" bestFit="1" customWidth="1"/>
    <col min="10" max="10" width="21.6640625" bestFit="1" customWidth="1"/>
    <col min="11" max="21" width="3.44140625" bestFit="1" customWidth="1"/>
    <col min="22" max="22" width="3.5546875" bestFit="1" customWidth="1"/>
    <col min="23" max="16384" width="36.5546875" hidden="1"/>
  </cols>
  <sheetData>
    <row r="1" spans="1:22" ht="72" x14ac:dyDescent="0.3">
      <c r="A1" s="19"/>
      <c r="B1" s="54" t="s">
        <v>717</v>
      </c>
      <c r="C1" s="10" t="s">
        <v>374</v>
      </c>
      <c r="D1" s="10" t="s">
        <v>277</v>
      </c>
      <c r="E1" s="10" t="s">
        <v>76</v>
      </c>
      <c r="F1" s="10" t="s">
        <v>127</v>
      </c>
      <c r="G1" s="10" t="s">
        <v>125</v>
      </c>
      <c r="H1" s="10" t="s">
        <v>702</v>
      </c>
      <c r="I1" s="23" t="s">
        <v>703</v>
      </c>
      <c r="J1" s="23" t="s">
        <v>712</v>
      </c>
      <c r="K1" s="160" t="s">
        <v>714</v>
      </c>
      <c r="L1" s="161"/>
      <c r="M1" s="161"/>
      <c r="N1" s="161"/>
      <c r="O1" s="161"/>
      <c r="P1" s="161"/>
      <c r="Q1" s="161"/>
      <c r="R1" s="161"/>
      <c r="S1" s="161"/>
      <c r="T1" s="161"/>
      <c r="U1" s="162"/>
      <c r="V1" s="138" t="s">
        <v>65</v>
      </c>
    </row>
    <row r="2" spans="1:22" ht="106.2" x14ac:dyDescent="0.3">
      <c r="A2" s="19"/>
      <c r="B2" s="54" t="s">
        <v>719</v>
      </c>
      <c r="C2" s="110" t="s">
        <v>716</v>
      </c>
      <c r="D2" s="110"/>
      <c r="E2" s="110" t="s">
        <v>80</v>
      </c>
      <c r="F2" s="110" t="s">
        <v>157</v>
      </c>
      <c r="G2" s="110" t="s">
        <v>158</v>
      </c>
      <c r="H2" s="110" t="s">
        <v>159</v>
      </c>
      <c r="I2" s="113" t="s">
        <v>161</v>
      </c>
      <c r="J2" s="55" t="s">
        <v>156</v>
      </c>
      <c r="K2" s="127" t="s">
        <v>73</v>
      </c>
      <c r="L2" s="128" t="s">
        <v>67</v>
      </c>
      <c r="M2" s="128" t="s">
        <v>74</v>
      </c>
      <c r="N2" s="128" t="s">
        <v>68</v>
      </c>
      <c r="O2" s="128" t="s">
        <v>472</v>
      </c>
      <c r="P2" s="128" t="s">
        <v>165</v>
      </c>
      <c r="Q2" s="128" t="s">
        <v>166</v>
      </c>
      <c r="R2" s="128" t="s">
        <v>698</v>
      </c>
      <c r="S2" s="128" t="s">
        <v>701</v>
      </c>
      <c r="T2" s="128" t="s">
        <v>697</v>
      </c>
      <c r="U2" s="128" t="s">
        <v>75</v>
      </c>
      <c r="V2" s="139" t="s">
        <v>713</v>
      </c>
    </row>
    <row r="3" spans="1:22" ht="21" x14ac:dyDescent="0.3">
      <c r="A3" s="117" t="s">
        <v>477</v>
      </c>
      <c r="B3" s="112" t="s">
        <v>373</v>
      </c>
      <c r="C3" s="157"/>
      <c r="D3" s="158"/>
      <c r="E3" s="158"/>
      <c r="F3" s="158"/>
      <c r="G3" s="158"/>
      <c r="H3" s="158"/>
      <c r="I3" s="158"/>
      <c r="J3" s="158"/>
      <c r="K3" s="158"/>
      <c r="L3" s="158"/>
      <c r="M3" s="158"/>
      <c r="N3" s="158"/>
      <c r="O3" s="158"/>
      <c r="P3" s="158"/>
      <c r="Q3" s="158"/>
      <c r="R3" s="158"/>
      <c r="S3" s="158"/>
      <c r="T3" s="158"/>
      <c r="U3" s="158"/>
      <c r="V3" s="159"/>
    </row>
    <row r="4" spans="1:22" ht="24" x14ac:dyDescent="0.3">
      <c r="A4" s="117" t="s">
        <v>478</v>
      </c>
      <c r="B4" s="116" t="s">
        <v>375</v>
      </c>
      <c r="C4" s="157"/>
      <c r="D4" s="158"/>
      <c r="E4" s="158"/>
      <c r="F4" s="158"/>
      <c r="G4" s="158"/>
      <c r="H4" s="158"/>
      <c r="I4" s="158"/>
      <c r="J4" s="158"/>
      <c r="K4" s="158"/>
      <c r="L4" s="158"/>
      <c r="M4" s="158"/>
      <c r="N4" s="158"/>
      <c r="O4" s="158"/>
      <c r="P4" s="158"/>
      <c r="Q4" s="158"/>
      <c r="R4" s="158"/>
      <c r="S4" s="158"/>
      <c r="T4" s="158"/>
      <c r="U4" s="158"/>
      <c r="V4" s="159"/>
    </row>
    <row r="5" spans="1:22" ht="52.8" x14ac:dyDescent="0.3">
      <c r="A5" s="125" t="s">
        <v>479</v>
      </c>
      <c r="B5" s="129" t="s">
        <v>280</v>
      </c>
      <c r="C5" s="129" t="s">
        <v>620</v>
      </c>
      <c r="D5" s="133" t="s">
        <v>278</v>
      </c>
      <c r="E5" s="13"/>
      <c r="F5" s="126"/>
      <c r="G5" s="126"/>
      <c r="H5" s="126"/>
      <c r="I5" s="21" t="s">
        <v>160</v>
      </c>
      <c r="J5" s="84" t="s">
        <v>710</v>
      </c>
      <c r="K5" s="131" t="s">
        <v>699</v>
      </c>
      <c r="L5" s="130"/>
      <c r="M5" s="130"/>
      <c r="N5" s="130"/>
      <c r="O5" s="130"/>
      <c r="P5" s="130"/>
      <c r="Q5" s="130"/>
      <c r="R5" s="130"/>
      <c r="S5" s="130"/>
      <c r="T5" s="130"/>
      <c r="U5" s="130"/>
      <c r="V5" s="132" t="s">
        <v>86</v>
      </c>
    </row>
    <row r="6" spans="1:22" ht="25.2" x14ac:dyDescent="0.3">
      <c r="A6" s="117" t="s">
        <v>480</v>
      </c>
      <c r="B6" s="116" t="s">
        <v>376</v>
      </c>
      <c r="C6" s="157"/>
      <c r="D6" s="158"/>
      <c r="E6" s="158"/>
      <c r="F6" s="158"/>
      <c r="G6" s="158"/>
      <c r="H6" s="158"/>
      <c r="I6" s="158"/>
      <c r="J6" s="158"/>
      <c r="K6" s="158"/>
      <c r="L6" s="158"/>
      <c r="M6" s="158"/>
      <c r="N6" s="158"/>
      <c r="O6" s="158"/>
      <c r="P6" s="158"/>
      <c r="Q6" s="158"/>
      <c r="R6" s="158"/>
      <c r="S6" s="158"/>
      <c r="T6" s="158"/>
      <c r="U6" s="158"/>
      <c r="V6" s="159"/>
    </row>
    <row r="7" spans="1:22" ht="26.4" x14ac:dyDescent="0.3">
      <c r="A7" s="125" t="s">
        <v>481</v>
      </c>
      <c r="B7" s="129" t="s">
        <v>281</v>
      </c>
      <c r="C7" s="129" t="s">
        <v>620</v>
      </c>
      <c r="D7" s="133" t="s">
        <v>278</v>
      </c>
      <c r="E7" s="13"/>
      <c r="F7" s="126"/>
      <c r="G7" s="126"/>
      <c r="H7" s="126"/>
      <c r="I7" s="21" t="s">
        <v>77</v>
      </c>
      <c r="J7" s="84" t="s">
        <v>710</v>
      </c>
      <c r="K7" s="130" t="s">
        <v>699</v>
      </c>
      <c r="L7" s="130" t="s">
        <v>699</v>
      </c>
      <c r="M7" s="130" t="s">
        <v>699</v>
      </c>
      <c r="N7" s="130"/>
      <c r="O7" s="130"/>
      <c r="P7" s="130"/>
      <c r="Q7" s="130"/>
      <c r="R7" s="130"/>
      <c r="S7" s="130"/>
      <c r="T7" s="130"/>
      <c r="U7" s="130"/>
      <c r="V7" s="132" t="s">
        <v>86</v>
      </c>
    </row>
    <row r="8" spans="1:22" ht="25.2" x14ac:dyDescent="0.3">
      <c r="A8" s="117" t="s">
        <v>482</v>
      </c>
      <c r="B8" s="116" t="s">
        <v>377</v>
      </c>
      <c r="C8" s="157"/>
      <c r="D8" s="158"/>
      <c r="E8" s="158"/>
      <c r="F8" s="158"/>
      <c r="G8" s="158"/>
      <c r="H8" s="158"/>
      <c r="I8" s="158"/>
      <c r="J8" s="158"/>
      <c r="K8" s="158"/>
      <c r="L8" s="158"/>
      <c r="M8" s="158"/>
      <c r="N8" s="158"/>
      <c r="O8" s="158"/>
      <c r="P8" s="158"/>
      <c r="Q8" s="158"/>
      <c r="R8" s="158"/>
      <c r="S8" s="158"/>
      <c r="T8" s="158"/>
      <c r="U8" s="158"/>
      <c r="V8" s="159"/>
    </row>
    <row r="9" spans="1:22" ht="26.4" x14ac:dyDescent="0.3">
      <c r="A9" s="125" t="s">
        <v>483</v>
      </c>
      <c r="B9" s="129" t="s">
        <v>282</v>
      </c>
      <c r="C9" s="129" t="s">
        <v>621</v>
      </c>
      <c r="D9" s="133" t="s">
        <v>278</v>
      </c>
      <c r="E9" s="13"/>
      <c r="F9" s="126"/>
      <c r="G9" s="126"/>
      <c r="H9" s="126"/>
      <c r="I9" s="21" t="s">
        <v>78</v>
      </c>
      <c r="J9" s="84" t="s">
        <v>710</v>
      </c>
      <c r="K9" s="130" t="s">
        <v>699</v>
      </c>
      <c r="L9" s="130" t="s">
        <v>699</v>
      </c>
      <c r="M9" s="130" t="s">
        <v>699</v>
      </c>
      <c r="N9" s="130"/>
      <c r="O9" s="130"/>
      <c r="P9" s="130"/>
      <c r="Q9" s="130"/>
      <c r="R9" s="130"/>
      <c r="S9" s="130"/>
      <c r="T9" s="130"/>
      <c r="U9" s="130"/>
      <c r="V9" s="132" t="s">
        <v>86</v>
      </c>
    </row>
    <row r="10" spans="1:22" ht="25.2" x14ac:dyDescent="0.3">
      <c r="A10" s="117" t="s">
        <v>484</v>
      </c>
      <c r="B10" s="116" t="s">
        <v>378</v>
      </c>
      <c r="C10" s="157"/>
      <c r="D10" s="158"/>
      <c r="E10" s="158"/>
      <c r="F10" s="158"/>
      <c r="G10" s="158"/>
      <c r="H10" s="158"/>
      <c r="I10" s="158"/>
      <c r="J10" s="158"/>
      <c r="K10" s="158"/>
      <c r="L10" s="158"/>
      <c r="M10" s="158"/>
      <c r="N10" s="158"/>
      <c r="O10" s="158"/>
      <c r="P10" s="158"/>
      <c r="Q10" s="158"/>
      <c r="R10" s="158"/>
      <c r="S10" s="158"/>
      <c r="T10" s="158"/>
      <c r="U10" s="158"/>
      <c r="V10" s="159"/>
    </row>
    <row r="11" spans="1:22" ht="39.6" x14ac:dyDescent="0.3">
      <c r="A11" s="125" t="s">
        <v>485</v>
      </c>
      <c r="B11" s="129" t="s">
        <v>283</v>
      </c>
      <c r="C11" s="129" t="s">
        <v>620</v>
      </c>
      <c r="D11" s="133" t="s">
        <v>278</v>
      </c>
      <c r="E11" s="13"/>
      <c r="F11" s="126"/>
      <c r="G11" s="126"/>
      <c r="H11" s="126"/>
      <c r="I11" s="21" t="s">
        <v>82</v>
      </c>
      <c r="J11" s="84" t="s">
        <v>710</v>
      </c>
      <c r="K11" s="130" t="s">
        <v>699</v>
      </c>
      <c r="L11" s="130"/>
      <c r="M11" s="130"/>
      <c r="N11" s="130"/>
      <c r="O11" s="130"/>
      <c r="P11" s="130"/>
      <c r="Q11" s="130"/>
      <c r="R11" s="130"/>
      <c r="S11" s="130"/>
      <c r="T11" s="130"/>
      <c r="U11" s="130"/>
      <c r="V11" s="132" t="s">
        <v>86</v>
      </c>
    </row>
    <row r="12" spans="1:22" ht="25.2" x14ac:dyDescent="0.3">
      <c r="A12" s="117" t="s">
        <v>486</v>
      </c>
      <c r="B12" s="116" t="s">
        <v>379</v>
      </c>
      <c r="C12" s="157"/>
      <c r="D12" s="158"/>
      <c r="E12" s="158"/>
      <c r="F12" s="158"/>
      <c r="G12" s="158"/>
      <c r="H12" s="158"/>
      <c r="I12" s="158"/>
      <c r="J12" s="158"/>
      <c r="K12" s="158"/>
      <c r="L12" s="158"/>
      <c r="M12" s="158"/>
      <c r="N12" s="158"/>
      <c r="O12" s="158"/>
      <c r="P12" s="158"/>
      <c r="Q12" s="158"/>
      <c r="R12" s="158"/>
      <c r="S12" s="158"/>
      <c r="T12" s="158"/>
      <c r="U12" s="158"/>
      <c r="V12" s="159"/>
    </row>
    <row r="13" spans="1:22" ht="26.4" x14ac:dyDescent="0.3">
      <c r="A13" s="125" t="s">
        <v>487</v>
      </c>
      <c r="B13" s="129" t="s">
        <v>284</v>
      </c>
      <c r="C13" s="129" t="s">
        <v>620</v>
      </c>
      <c r="D13" s="133" t="s">
        <v>278</v>
      </c>
      <c r="E13" s="13"/>
      <c r="F13" s="126"/>
      <c r="G13" s="126"/>
      <c r="H13" s="126"/>
      <c r="I13" s="21" t="s">
        <v>81</v>
      </c>
      <c r="J13" s="84" t="s">
        <v>710</v>
      </c>
      <c r="K13" s="130" t="s">
        <v>699</v>
      </c>
      <c r="L13" s="130"/>
      <c r="M13" s="130" t="s">
        <v>699</v>
      </c>
      <c r="N13" s="130"/>
      <c r="O13" s="130"/>
      <c r="P13" s="130" t="s">
        <v>699</v>
      </c>
      <c r="Q13" s="130"/>
      <c r="R13" s="130"/>
      <c r="S13" s="130"/>
      <c r="T13" s="130"/>
      <c r="U13" s="130"/>
      <c r="V13" s="132" t="s">
        <v>86</v>
      </c>
    </row>
    <row r="14" spans="1:22" ht="25.2" x14ac:dyDescent="0.3">
      <c r="A14" s="117" t="s">
        <v>488</v>
      </c>
      <c r="B14" s="116" t="s">
        <v>380</v>
      </c>
      <c r="C14" s="157"/>
      <c r="D14" s="158"/>
      <c r="E14" s="158"/>
      <c r="F14" s="158"/>
      <c r="G14" s="158"/>
      <c r="H14" s="158"/>
      <c r="I14" s="158"/>
      <c r="J14" s="158"/>
      <c r="K14" s="158"/>
      <c r="L14" s="158"/>
      <c r="M14" s="158"/>
      <c r="N14" s="158"/>
      <c r="O14" s="158"/>
      <c r="P14" s="158"/>
      <c r="Q14" s="158"/>
      <c r="R14" s="158"/>
      <c r="S14" s="158"/>
      <c r="T14" s="158"/>
      <c r="U14" s="158"/>
      <c r="V14" s="159"/>
    </row>
    <row r="15" spans="1:22" ht="26.4" x14ac:dyDescent="0.3">
      <c r="A15" s="125" t="s">
        <v>489</v>
      </c>
      <c r="B15" s="129" t="s">
        <v>285</v>
      </c>
      <c r="C15" s="129" t="s">
        <v>620</v>
      </c>
      <c r="D15" s="133" t="s">
        <v>278</v>
      </c>
      <c r="E15" s="13"/>
      <c r="F15" s="126"/>
      <c r="G15" s="126"/>
      <c r="H15" s="126"/>
      <c r="I15" s="21" t="s">
        <v>160</v>
      </c>
      <c r="J15" s="84" t="s">
        <v>710</v>
      </c>
      <c r="K15" s="130" t="s">
        <v>699</v>
      </c>
      <c r="L15" s="130" t="s">
        <v>699</v>
      </c>
      <c r="M15" s="130" t="s">
        <v>699</v>
      </c>
      <c r="N15" s="130" t="s">
        <v>699</v>
      </c>
      <c r="O15" s="130" t="s">
        <v>699</v>
      </c>
      <c r="P15" s="130" t="s">
        <v>699</v>
      </c>
      <c r="Q15" s="130" t="s">
        <v>699</v>
      </c>
      <c r="R15" s="130" t="s">
        <v>699</v>
      </c>
      <c r="S15" s="130"/>
      <c r="T15" s="130"/>
      <c r="U15" s="130"/>
      <c r="V15" s="132" t="s">
        <v>86</v>
      </c>
    </row>
    <row r="16" spans="1:22" ht="25.2" x14ac:dyDescent="0.3">
      <c r="A16" s="117" t="s">
        <v>490</v>
      </c>
      <c r="B16" s="116" t="s">
        <v>381</v>
      </c>
      <c r="C16" s="157"/>
      <c r="D16" s="158"/>
      <c r="E16" s="158"/>
      <c r="F16" s="158"/>
      <c r="G16" s="158"/>
      <c r="H16" s="158"/>
      <c r="I16" s="158"/>
      <c r="J16" s="158"/>
      <c r="K16" s="158"/>
      <c r="L16" s="158"/>
      <c r="M16" s="158"/>
      <c r="N16" s="158"/>
      <c r="O16" s="158"/>
      <c r="P16" s="158"/>
      <c r="Q16" s="158"/>
      <c r="R16" s="158"/>
      <c r="S16" s="158"/>
      <c r="T16" s="158"/>
      <c r="U16" s="158"/>
      <c r="V16" s="159"/>
    </row>
    <row r="17" spans="1:22" ht="26.4" x14ac:dyDescent="0.3">
      <c r="A17" s="125" t="s">
        <v>491</v>
      </c>
      <c r="B17" s="129" t="s">
        <v>286</v>
      </c>
      <c r="C17" s="129" t="s">
        <v>622</v>
      </c>
      <c r="D17" s="133" t="s">
        <v>278</v>
      </c>
      <c r="E17" s="13"/>
      <c r="F17" s="126"/>
      <c r="G17" s="126"/>
      <c r="H17" s="126"/>
      <c r="I17" s="21" t="s">
        <v>160</v>
      </c>
      <c r="J17" s="84" t="s">
        <v>710</v>
      </c>
      <c r="K17" s="130" t="s">
        <v>699</v>
      </c>
      <c r="L17" s="130"/>
      <c r="M17" s="130" t="s">
        <v>699</v>
      </c>
      <c r="N17" s="130" t="s">
        <v>699</v>
      </c>
      <c r="O17" s="130" t="s">
        <v>699</v>
      </c>
      <c r="P17" s="130"/>
      <c r="Q17" s="130"/>
      <c r="R17" s="130"/>
      <c r="S17" s="130"/>
      <c r="T17" s="130"/>
      <c r="U17" s="130"/>
      <c r="V17" s="132" t="s">
        <v>86</v>
      </c>
    </row>
    <row r="18" spans="1:22" ht="25.2" x14ac:dyDescent="0.3">
      <c r="A18" s="117" t="s">
        <v>492</v>
      </c>
      <c r="B18" s="116" t="s">
        <v>382</v>
      </c>
      <c r="C18" s="157"/>
      <c r="D18" s="158"/>
      <c r="E18" s="158"/>
      <c r="F18" s="158"/>
      <c r="G18" s="158"/>
      <c r="H18" s="158"/>
      <c r="I18" s="158"/>
      <c r="J18" s="158"/>
      <c r="K18" s="158"/>
      <c r="L18" s="158"/>
      <c r="M18" s="158"/>
      <c r="N18" s="158"/>
      <c r="O18" s="158"/>
      <c r="P18" s="158"/>
      <c r="Q18" s="158"/>
      <c r="R18" s="158"/>
      <c r="S18" s="158"/>
      <c r="T18" s="158"/>
      <c r="U18" s="158"/>
      <c r="V18" s="159"/>
    </row>
    <row r="19" spans="1:22" ht="26.4" x14ac:dyDescent="0.3">
      <c r="A19" s="125" t="s">
        <v>493</v>
      </c>
      <c r="B19" s="129" t="s">
        <v>287</v>
      </c>
      <c r="C19" s="129" t="s">
        <v>620</v>
      </c>
      <c r="D19" s="133" t="s">
        <v>278</v>
      </c>
      <c r="E19" s="13"/>
      <c r="F19" s="126"/>
      <c r="G19" s="126"/>
      <c r="H19" s="126"/>
      <c r="I19" s="21" t="s">
        <v>160</v>
      </c>
      <c r="J19" s="84" t="s">
        <v>710</v>
      </c>
      <c r="K19" s="130"/>
      <c r="L19" s="130"/>
      <c r="M19" s="130"/>
      <c r="N19" s="130" t="s">
        <v>699</v>
      </c>
      <c r="O19" s="130" t="s">
        <v>699</v>
      </c>
      <c r="P19" s="130"/>
      <c r="Q19" s="130"/>
      <c r="R19" s="130"/>
      <c r="S19" s="130"/>
      <c r="T19" s="130"/>
      <c r="U19" s="130"/>
      <c r="V19" s="132" t="s">
        <v>86</v>
      </c>
    </row>
    <row r="20" spans="1:22" ht="25.2" x14ac:dyDescent="0.3">
      <c r="A20" s="117" t="s">
        <v>494</v>
      </c>
      <c r="B20" s="116" t="s">
        <v>383</v>
      </c>
      <c r="C20" s="157"/>
      <c r="D20" s="158"/>
      <c r="E20" s="158"/>
      <c r="F20" s="158"/>
      <c r="G20" s="158"/>
      <c r="H20" s="158"/>
      <c r="I20" s="158"/>
      <c r="J20" s="158"/>
      <c r="K20" s="158"/>
      <c r="L20" s="158"/>
      <c r="M20" s="158"/>
      <c r="N20" s="158"/>
      <c r="O20" s="158"/>
      <c r="P20" s="158"/>
      <c r="Q20" s="158"/>
      <c r="R20" s="158"/>
      <c r="S20" s="158"/>
      <c r="T20" s="158"/>
      <c r="U20" s="158"/>
      <c r="V20" s="159"/>
    </row>
    <row r="21" spans="1:22" ht="26.4" x14ac:dyDescent="0.3">
      <c r="A21" s="125" t="s">
        <v>495</v>
      </c>
      <c r="B21" s="129" t="s">
        <v>288</v>
      </c>
      <c r="C21" s="129" t="s">
        <v>623</v>
      </c>
      <c r="D21" s="133" t="s">
        <v>278</v>
      </c>
      <c r="E21" s="13"/>
      <c r="F21" s="126"/>
      <c r="G21" s="126"/>
      <c r="H21" s="126"/>
      <c r="I21" s="21" t="s">
        <v>160</v>
      </c>
      <c r="J21" s="84" t="s">
        <v>710</v>
      </c>
      <c r="K21" s="130"/>
      <c r="L21" s="130"/>
      <c r="M21" s="130" t="s">
        <v>699</v>
      </c>
      <c r="N21" s="130" t="s">
        <v>699</v>
      </c>
      <c r="O21" s="130" t="s">
        <v>699</v>
      </c>
      <c r="P21" s="130"/>
      <c r="Q21" s="130"/>
      <c r="R21" s="130"/>
      <c r="S21" s="130"/>
      <c r="T21" s="130"/>
      <c r="U21" s="130"/>
      <c r="V21" s="132" t="s">
        <v>86</v>
      </c>
    </row>
    <row r="22" spans="1:22" ht="27.6" x14ac:dyDescent="0.3">
      <c r="A22" s="117" t="s">
        <v>496</v>
      </c>
      <c r="B22" s="116" t="s">
        <v>470</v>
      </c>
      <c r="C22" s="157"/>
      <c r="D22" s="158"/>
      <c r="E22" s="158"/>
      <c r="F22" s="158"/>
      <c r="G22" s="158"/>
      <c r="H22" s="158"/>
      <c r="I22" s="158"/>
      <c r="J22" s="158"/>
      <c r="K22" s="158"/>
      <c r="L22" s="158"/>
      <c r="M22" s="158"/>
      <c r="N22" s="158"/>
      <c r="O22" s="158"/>
      <c r="P22" s="158"/>
      <c r="Q22" s="158"/>
      <c r="R22" s="158"/>
      <c r="S22" s="158"/>
      <c r="T22" s="158"/>
      <c r="U22" s="158"/>
      <c r="V22" s="159"/>
    </row>
    <row r="23" spans="1:22" ht="28.8" x14ac:dyDescent="0.3">
      <c r="A23" s="125" t="s">
        <v>497</v>
      </c>
      <c r="B23" s="129" t="s">
        <v>289</v>
      </c>
      <c r="C23" s="129" t="s">
        <v>624</v>
      </c>
      <c r="D23" s="133" t="s">
        <v>278</v>
      </c>
      <c r="E23" s="13"/>
      <c r="F23" s="126"/>
      <c r="G23" s="126"/>
      <c r="H23" s="126"/>
      <c r="I23" s="21" t="s">
        <v>160</v>
      </c>
      <c r="J23" s="84" t="s">
        <v>710</v>
      </c>
      <c r="K23" s="130"/>
      <c r="L23" s="130"/>
      <c r="M23" s="130" t="s">
        <v>699</v>
      </c>
      <c r="N23" s="130" t="s">
        <v>699</v>
      </c>
      <c r="O23" s="130"/>
      <c r="P23" s="130"/>
      <c r="Q23" s="130"/>
      <c r="R23" s="130"/>
      <c r="S23" s="130"/>
      <c r="T23" s="130"/>
      <c r="U23" s="130"/>
      <c r="V23" s="132" t="s">
        <v>86</v>
      </c>
    </row>
    <row r="24" spans="1:22" ht="26.4" x14ac:dyDescent="0.3">
      <c r="A24" s="117" t="s">
        <v>498</v>
      </c>
      <c r="B24" s="116" t="s">
        <v>384</v>
      </c>
      <c r="C24" s="157"/>
      <c r="D24" s="158"/>
      <c r="E24" s="158"/>
      <c r="F24" s="158"/>
      <c r="G24" s="158"/>
      <c r="H24" s="158"/>
      <c r="I24" s="158"/>
      <c r="J24" s="158"/>
      <c r="K24" s="158"/>
      <c r="L24" s="158"/>
      <c r="M24" s="158"/>
      <c r="N24" s="158"/>
      <c r="O24" s="158"/>
      <c r="P24" s="158"/>
      <c r="Q24" s="158"/>
      <c r="R24" s="158"/>
      <c r="S24" s="158"/>
      <c r="T24" s="158"/>
      <c r="U24" s="158"/>
      <c r="V24" s="159"/>
    </row>
    <row r="25" spans="1:22" ht="39.6" x14ac:dyDescent="0.3">
      <c r="A25" s="125" t="s">
        <v>499</v>
      </c>
      <c r="B25" s="129" t="s">
        <v>290</v>
      </c>
      <c r="C25" s="129" t="s">
        <v>623</v>
      </c>
      <c r="D25" s="133" t="s">
        <v>278</v>
      </c>
      <c r="E25" s="13"/>
      <c r="F25" s="126"/>
      <c r="G25" s="126"/>
      <c r="H25" s="126"/>
      <c r="I25" s="21" t="s">
        <v>160</v>
      </c>
      <c r="J25" s="84" t="s">
        <v>710</v>
      </c>
      <c r="K25" s="130"/>
      <c r="L25" s="130"/>
      <c r="M25" s="130"/>
      <c r="N25" s="130" t="s">
        <v>699</v>
      </c>
      <c r="O25" s="130"/>
      <c r="P25" s="130"/>
      <c r="Q25" s="130"/>
      <c r="R25" s="130"/>
      <c r="S25" s="130" t="s">
        <v>699</v>
      </c>
      <c r="T25" s="130"/>
      <c r="U25" s="130"/>
      <c r="V25" s="132" t="s">
        <v>86</v>
      </c>
    </row>
    <row r="26" spans="1:22" ht="27.6" x14ac:dyDescent="0.3">
      <c r="A26" s="117" t="s">
        <v>500</v>
      </c>
      <c r="B26" s="116" t="s">
        <v>385</v>
      </c>
      <c r="C26" s="157"/>
      <c r="D26" s="158"/>
      <c r="E26" s="158"/>
      <c r="F26" s="158"/>
      <c r="G26" s="158"/>
      <c r="H26" s="158"/>
      <c r="I26" s="158"/>
      <c r="J26" s="158"/>
      <c r="K26" s="158"/>
      <c r="L26" s="158"/>
      <c r="M26" s="158"/>
      <c r="N26" s="158"/>
      <c r="O26" s="158"/>
      <c r="P26" s="158"/>
      <c r="Q26" s="158"/>
      <c r="R26" s="158"/>
      <c r="S26" s="158"/>
      <c r="T26" s="158"/>
      <c r="U26" s="158"/>
      <c r="V26" s="159"/>
    </row>
    <row r="27" spans="1:22" ht="39.6" x14ac:dyDescent="0.3">
      <c r="A27" s="125" t="s">
        <v>501</v>
      </c>
      <c r="B27" s="129" t="s">
        <v>291</v>
      </c>
      <c r="C27" s="129" t="s">
        <v>625</v>
      </c>
      <c r="D27" s="133" t="s">
        <v>278</v>
      </c>
      <c r="E27" s="13"/>
      <c r="F27" s="126"/>
      <c r="G27" s="126"/>
      <c r="H27" s="126"/>
      <c r="I27" s="21" t="s">
        <v>160</v>
      </c>
      <c r="J27" s="84" t="s">
        <v>710</v>
      </c>
      <c r="K27" s="130"/>
      <c r="L27" s="130"/>
      <c r="M27" s="130" t="s">
        <v>699</v>
      </c>
      <c r="N27" s="130" t="s">
        <v>699</v>
      </c>
      <c r="O27" s="130"/>
      <c r="P27" s="130"/>
      <c r="Q27" s="130"/>
      <c r="R27" s="130"/>
      <c r="S27" s="130"/>
      <c r="T27" s="130"/>
      <c r="U27" s="130"/>
      <c r="V27" s="132" t="s">
        <v>86</v>
      </c>
    </row>
    <row r="28" spans="1:22" ht="27.6" x14ac:dyDescent="0.3">
      <c r="A28" s="117" t="s">
        <v>502</v>
      </c>
      <c r="B28" s="116" t="s">
        <v>386</v>
      </c>
      <c r="C28" s="157"/>
      <c r="D28" s="158"/>
      <c r="E28" s="158"/>
      <c r="F28" s="158"/>
      <c r="G28" s="158"/>
      <c r="H28" s="158"/>
      <c r="I28" s="158"/>
      <c r="J28" s="158"/>
      <c r="K28" s="158"/>
      <c r="L28" s="158"/>
      <c r="M28" s="158"/>
      <c r="N28" s="158"/>
      <c r="O28" s="158"/>
      <c r="P28" s="158"/>
      <c r="Q28" s="158"/>
      <c r="R28" s="158"/>
      <c r="S28" s="158"/>
      <c r="T28" s="158"/>
      <c r="U28" s="158"/>
      <c r="V28" s="159"/>
    </row>
    <row r="29" spans="1:22" ht="39.6" x14ac:dyDescent="0.3">
      <c r="A29" s="125" t="s">
        <v>503</v>
      </c>
      <c r="B29" s="129" t="s">
        <v>292</v>
      </c>
      <c r="C29" s="129" t="s">
        <v>625</v>
      </c>
      <c r="D29" s="133" t="s">
        <v>278</v>
      </c>
      <c r="E29" s="13"/>
      <c r="F29" s="126"/>
      <c r="G29" s="126"/>
      <c r="H29" s="126"/>
      <c r="I29" s="21" t="s">
        <v>160</v>
      </c>
      <c r="J29" s="84" t="s">
        <v>710</v>
      </c>
      <c r="K29" s="130"/>
      <c r="L29" s="130"/>
      <c r="M29" s="130" t="s">
        <v>699</v>
      </c>
      <c r="N29" s="130" t="s">
        <v>699</v>
      </c>
      <c r="O29" s="130"/>
      <c r="P29" s="130"/>
      <c r="Q29" s="130"/>
      <c r="R29" s="130"/>
      <c r="S29" s="130"/>
      <c r="T29" s="130"/>
      <c r="U29" s="130"/>
      <c r="V29" s="132" t="s">
        <v>86</v>
      </c>
    </row>
    <row r="30" spans="1:22" ht="27.6" x14ac:dyDescent="0.3">
      <c r="A30" s="117" t="s">
        <v>504</v>
      </c>
      <c r="B30" s="116" t="s">
        <v>387</v>
      </c>
      <c r="C30" s="157"/>
      <c r="D30" s="158"/>
      <c r="E30" s="158"/>
      <c r="F30" s="158"/>
      <c r="G30" s="158"/>
      <c r="H30" s="158"/>
      <c r="I30" s="158"/>
      <c r="J30" s="158"/>
      <c r="K30" s="158"/>
      <c r="L30" s="158"/>
      <c r="M30" s="158"/>
      <c r="N30" s="158"/>
      <c r="O30" s="158"/>
      <c r="P30" s="158"/>
      <c r="Q30" s="158"/>
      <c r="R30" s="158"/>
      <c r="S30" s="158"/>
      <c r="T30" s="158"/>
      <c r="U30" s="158"/>
      <c r="V30" s="159"/>
    </row>
    <row r="31" spans="1:22" ht="39.6" x14ac:dyDescent="0.3">
      <c r="A31" s="125" t="s">
        <v>505</v>
      </c>
      <c r="B31" s="129" t="s">
        <v>293</v>
      </c>
      <c r="C31" s="129" t="s">
        <v>624</v>
      </c>
      <c r="D31" s="133" t="s">
        <v>278</v>
      </c>
      <c r="E31" s="13"/>
      <c r="F31" s="126"/>
      <c r="G31" s="126"/>
      <c r="H31" s="126"/>
      <c r="I31" s="21" t="s">
        <v>160</v>
      </c>
      <c r="J31" s="84" t="s">
        <v>710</v>
      </c>
      <c r="K31" s="130" t="s">
        <v>699</v>
      </c>
      <c r="L31" s="130"/>
      <c r="M31" s="130" t="s">
        <v>699</v>
      </c>
      <c r="N31" s="130" t="s">
        <v>699</v>
      </c>
      <c r="O31" s="130"/>
      <c r="P31" s="130" t="s">
        <v>699</v>
      </c>
      <c r="Q31" s="130"/>
      <c r="R31" s="130"/>
      <c r="S31" s="130" t="s">
        <v>699</v>
      </c>
      <c r="T31" s="130"/>
      <c r="U31" s="130"/>
      <c r="V31" s="132" t="s">
        <v>86</v>
      </c>
    </row>
    <row r="32" spans="1:22" ht="27.6" x14ac:dyDescent="0.3">
      <c r="A32" s="117" t="s">
        <v>506</v>
      </c>
      <c r="B32" s="116" t="s">
        <v>388</v>
      </c>
      <c r="C32" s="157"/>
      <c r="D32" s="158"/>
      <c r="E32" s="158"/>
      <c r="F32" s="158"/>
      <c r="G32" s="158"/>
      <c r="H32" s="158"/>
      <c r="I32" s="158"/>
      <c r="J32" s="158"/>
      <c r="K32" s="158"/>
      <c r="L32" s="158"/>
      <c r="M32" s="158"/>
      <c r="N32" s="158"/>
      <c r="O32" s="158"/>
      <c r="P32" s="158"/>
      <c r="Q32" s="158"/>
      <c r="R32" s="158"/>
      <c r="S32" s="158"/>
      <c r="T32" s="158"/>
      <c r="U32" s="158"/>
      <c r="V32" s="159"/>
    </row>
    <row r="33" spans="1:22" ht="39.6" x14ac:dyDescent="0.3">
      <c r="A33" s="125" t="s">
        <v>507</v>
      </c>
      <c r="B33" s="129" t="s">
        <v>294</v>
      </c>
      <c r="C33" s="129" t="s">
        <v>626</v>
      </c>
      <c r="D33" s="133" t="s">
        <v>278</v>
      </c>
      <c r="E33" s="13"/>
      <c r="F33" s="126"/>
      <c r="G33" s="126"/>
      <c r="H33" s="126"/>
      <c r="I33" s="21" t="s">
        <v>160</v>
      </c>
      <c r="J33" s="84" t="s">
        <v>710</v>
      </c>
      <c r="K33" s="130"/>
      <c r="L33" s="130"/>
      <c r="M33" s="130" t="s">
        <v>699</v>
      </c>
      <c r="N33" s="130" t="s">
        <v>699</v>
      </c>
      <c r="O33" s="130"/>
      <c r="P33" s="130"/>
      <c r="Q33" s="130"/>
      <c r="R33" s="130"/>
      <c r="S33" s="130"/>
      <c r="T33" s="130"/>
      <c r="U33" s="130"/>
      <c r="V33" s="132" t="s">
        <v>86</v>
      </c>
    </row>
    <row r="34" spans="1:22" ht="27.6" x14ac:dyDescent="0.3">
      <c r="A34" s="117" t="s">
        <v>508</v>
      </c>
      <c r="B34" s="116" t="s">
        <v>389</v>
      </c>
      <c r="C34" s="157"/>
      <c r="D34" s="158"/>
      <c r="E34" s="158"/>
      <c r="F34" s="158"/>
      <c r="G34" s="158"/>
      <c r="H34" s="158"/>
      <c r="I34" s="158"/>
      <c r="J34" s="158"/>
      <c r="K34" s="158"/>
      <c r="L34" s="158"/>
      <c r="M34" s="158"/>
      <c r="N34" s="158"/>
      <c r="O34" s="158"/>
      <c r="P34" s="158"/>
      <c r="Q34" s="158"/>
      <c r="R34" s="158"/>
      <c r="S34" s="158"/>
      <c r="T34" s="158"/>
      <c r="U34" s="158"/>
      <c r="V34" s="159"/>
    </row>
    <row r="35" spans="1:22" ht="28.8" x14ac:dyDescent="0.3">
      <c r="A35" s="125" t="s">
        <v>509</v>
      </c>
      <c r="B35" s="129" t="s">
        <v>295</v>
      </c>
      <c r="C35" s="129" t="s">
        <v>626</v>
      </c>
      <c r="D35" s="133" t="s">
        <v>278</v>
      </c>
      <c r="E35" s="13"/>
      <c r="F35" s="126"/>
      <c r="G35" s="126"/>
      <c r="H35" s="126"/>
      <c r="I35" s="21" t="s">
        <v>160</v>
      </c>
      <c r="J35" s="84" t="s">
        <v>710</v>
      </c>
      <c r="K35" s="130"/>
      <c r="L35" s="130" t="s">
        <v>699</v>
      </c>
      <c r="M35" s="130" t="s">
        <v>699</v>
      </c>
      <c r="N35" s="130" t="s">
        <v>699</v>
      </c>
      <c r="O35" s="130"/>
      <c r="P35" s="130"/>
      <c r="Q35" s="130"/>
      <c r="R35" s="130"/>
      <c r="S35" s="130"/>
      <c r="T35" s="130"/>
      <c r="U35" s="130"/>
      <c r="V35" s="132" t="s">
        <v>86</v>
      </c>
    </row>
    <row r="36" spans="1:22" ht="27.6" x14ac:dyDescent="0.3">
      <c r="A36" s="117" t="s">
        <v>510</v>
      </c>
      <c r="B36" s="116" t="s">
        <v>390</v>
      </c>
      <c r="C36" s="157"/>
      <c r="D36" s="158"/>
      <c r="E36" s="158"/>
      <c r="F36" s="158"/>
      <c r="G36" s="158"/>
      <c r="H36" s="158"/>
      <c r="I36" s="158"/>
      <c r="J36" s="158"/>
      <c r="K36" s="158"/>
      <c r="L36" s="158"/>
      <c r="M36" s="158"/>
      <c r="N36" s="158"/>
      <c r="O36" s="158"/>
      <c r="P36" s="158"/>
      <c r="Q36" s="158"/>
      <c r="R36" s="158"/>
      <c r="S36" s="158"/>
      <c r="T36" s="158"/>
      <c r="U36" s="158"/>
      <c r="V36" s="159"/>
    </row>
    <row r="37" spans="1:22" ht="39.6" x14ac:dyDescent="0.3">
      <c r="A37" s="125" t="s">
        <v>511</v>
      </c>
      <c r="B37" s="129" t="s">
        <v>296</v>
      </c>
      <c r="C37" s="129" t="s">
        <v>626</v>
      </c>
      <c r="D37" s="133" t="s">
        <v>278</v>
      </c>
      <c r="E37" s="13"/>
      <c r="F37" s="126"/>
      <c r="G37" s="126"/>
      <c r="H37" s="126"/>
      <c r="I37" s="21" t="s">
        <v>160</v>
      </c>
      <c r="J37" s="84" t="s">
        <v>710</v>
      </c>
      <c r="K37" s="130"/>
      <c r="L37" s="130"/>
      <c r="M37" s="130"/>
      <c r="N37" s="130" t="s">
        <v>699</v>
      </c>
      <c r="O37" s="130"/>
      <c r="P37" s="130"/>
      <c r="Q37" s="130"/>
      <c r="R37" s="130"/>
      <c r="S37" s="130"/>
      <c r="T37" s="130"/>
      <c r="U37" s="130"/>
      <c r="V37" s="132" t="s">
        <v>86</v>
      </c>
    </row>
    <row r="38" spans="1:22" ht="27.6" x14ac:dyDescent="0.3">
      <c r="A38" s="117" t="s">
        <v>512</v>
      </c>
      <c r="B38" s="116" t="s">
        <v>391</v>
      </c>
      <c r="C38" s="157"/>
      <c r="D38" s="158"/>
      <c r="E38" s="158"/>
      <c r="F38" s="158"/>
      <c r="G38" s="158"/>
      <c r="H38" s="158"/>
      <c r="I38" s="158"/>
      <c r="J38" s="158"/>
      <c r="K38" s="158"/>
      <c r="L38" s="158"/>
      <c r="M38" s="158"/>
      <c r="N38" s="158"/>
      <c r="O38" s="158"/>
      <c r="P38" s="158"/>
      <c r="Q38" s="158"/>
      <c r="R38" s="158"/>
      <c r="S38" s="158"/>
      <c r="T38" s="158"/>
      <c r="U38" s="158"/>
      <c r="V38" s="159"/>
    </row>
    <row r="39" spans="1:22" ht="39.6" x14ac:dyDescent="0.3">
      <c r="A39" s="125" t="s">
        <v>475</v>
      </c>
      <c r="B39" s="129" t="s">
        <v>297</v>
      </c>
      <c r="C39" s="129" t="s">
        <v>626</v>
      </c>
      <c r="D39" s="133" t="s">
        <v>278</v>
      </c>
      <c r="E39" s="13"/>
      <c r="F39" s="126"/>
      <c r="G39" s="126"/>
      <c r="H39" s="126"/>
      <c r="I39" s="21" t="s">
        <v>160</v>
      </c>
      <c r="J39" s="84" t="s">
        <v>710</v>
      </c>
      <c r="K39" s="130"/>
      <c r="L39" s="130"/>
      <c r="M39" s="130" t="s">
        <v>699</v>
      </c>
      <c r="N39" s="130" t="s">
        <v>699</v>
      </c>
      <c r="O39" s="130"/>
      <c r="P39" s="130"/>
      <c r="Q39" s="130"/>
      <c r="R39" s="130"/>
      <c r="S39" s="130"/>
      <c r="T39" s="130"/>
      <c r="U39" s="130"/>
      <c r="V39" s="132" t="s">
        <v>86</v>
      </c>
    </row>
    <row r="40" spans="1:22" ht="27.6" x14ac:dyDescent="0.3">
      <c r="A40" s="117" t="s">
        <v>513</v>
      </c>
      <c r="B40" s="116" t="s">
        <v>392</v>
      </c>
      <c r="C40" s="157"/>
      <c r="D40" s="158"/>
      <c r="E40" s="158"/>
      <c r="F40" s="158"/>
      <c r="G40" s="158"/>
      <c r="H40" s="158"/>
      <c r="I40" s="158"/>
      <c r="J40" s="158"/>
      <c r="K40" s="158"/>
      <c r="L40" s="158"/>
      <c r="M40" s="158"/>
      <c r="N40" s="158"/>
      <c r="O40" s="158"/>
      <c r="P40" s="158"/>
      <c r="Q40" s="158"/>
      <c r="R40" s="158"/>
      <c r="S40" s="158"/>
      <c r="T40" s="158"/>
      <c r="U40" s="158"/>
      <c r="V40" s="159"/>
    </row>
    <row r="41" spans="1:22" ht="39.6" x14ac:dyDescent="0.3">
      <c r="A41" s="125" t="s">
        <v>514</v>
      </c>
      <c r="B41" s="129" t="s">
        <v>298</v>
      </c>
      <c r="C41" s="129" t="s">
        <v>627</v>
      </c>
      <c r="D41" s="133" t="s">
        <v>278</v>
      </c>
      <c r="E41" s="13"/>
      <c r="F41" s="126"/>
      <c r="G41" s="126"/>
      <c r="H41" s="126"/>
      <c r="I41" s="21" t="s">
        <v>160</v>
      </c>
      <c r="J41" s="84" t="s">
        <v>710</v>
      </c>
      <c r="K41" s="130"/>
      <c r="L41" s="130"/>
      <c r="M41" s="130"/>
      <c r="N41" s="130"/>
      <c r="O41" s="130"/>
      <c r="P41" s="130" t="s">
        <v>699</v>
      </c>
      <c r="Q41" s="130"/>
      <c r="R41" s="130" t="s">
        <v>699</v>
      </c>
      <c r="S41" s="130"/>
      <c r="T41" s="130"/>
      <c r="U41" s="130"/>
      <c r="V41" s="132" t="s">
        <v>86</v>
      </c>
    </row>
    <row r="42" spans="1:22" ht="28.8" x14ac:dyDescent="0.3">
      <c r="A42" s="117" t="s">
        <v>515</v>
      </c>
      <c r="B42" s="116" t="s">
        <v>720</v>
      </c>
      <c r="C42" s="157"/>
      <c r="D42" s="158"/>
      <c r="E42" s="158"/>
      <c r="F42" s="158"/>
      <c r="G42" s="158"/>
      <c r="H42" s="158"/>
      <c r="I42" s="158"/>
      <c r="J42" s="158"/>
      <c r="K42" s="158"/>
      <c r="L42" s="158"/>
      <c r="M42" s="158"/>
      <c r="N42" s="158"/>
      <c r="O42" s="158"/>
      <c r="P42" s="158"/>
      <c r="Q42" s="158"/>
      <c r="R42" s="158"/>
      <c r="S42" s="158"/>
      <c r="T42" s="158"/>
      <c r="U42" s="158"/>
      <c r="V42" s="159"/>
    </row>
    <row r="43" spans="1:22" ht="30" x14ac:dyDescent="0.3">
      <c r="A43" s="125" t="s">
        <v>516</v>
      </c>
      <c r="B43" s="129" t="s">
        <v>299</v>
      </c>
      <c r="C43" s="129" t="s">
        <v>627</v>
      </c>
      <c r="D43" s="133" t="s">
        <v>278</v>
      </c>
      <c r="E43" s="13"/>
      <c r="F43" s="126"/>
      <c r="G43" s="126"/>
      <c r="H43" s="126"/>
      <c r="I43" s="21" t="s">
        <v>160</v>
      </c>
      <c r="J43" s="84" t="s">
        <v>710</v>
      </c>
      <c r="K43" s="130"/>
      <c r="L43" s="130"/>
      <c r="M43" s="130"/>
      <c r="N43" s="130"/>
      <c r="O43" s="130"/>
      <c r="P43" s="130" t="s">
        <v>699</v>
      </c>
      <c r="Q43" s="130"/>
      <c r="R43" s="130" t="s">
        <v>699</v>
      </c>
      <c r="S43" s="130"/>
      <c r="T43" s="130"/>
      <c r="U43" s="130"/>
      <c r="V43" s="132" t="s">
        <v>86</v>
      </c>
    </row>
    <row r="44" spans="1:22" ht="27.6" x14ac:dyDescent="0.3">
      <c r="A44" s="117" t="s">
        <v>517</v>
      </c>
      <c r="B44" s="116" t="s">
        <v>393</v>
      </c>
      <c r="C44" s="157"/>
      <c r="D44" s="158"/>
      <c r="E44" s="158"/>
      <c r="F44" s="158"/>
      <c r="G44" s="158"/>
      <c r="H44" s="158"/>
      <c r="I44" s="158"/>
      <c r="J44" s="158"/>
      <c r="K44" s="158"/>
      <c r="L44" s="158"/>
      <c r="M44" s="158"/>
      <c r="N44" s="158"/>
      <c r="O44" s="158"/>
      <c r="P44" s="158"/>
      <c r="Q44" s="158"/>
      <c r="R44" s="158"/>
      <c r="S44" s="158"/>
      <c r="T44" s="158"/>
      <c r="U44" s="158"/>
      <c r="V44" s="159"/>
    </row>
    <row r="45" spans="1:22" ht="39.6" x14ac:dyDescent="0.3">
      <c r="A45" s="125" t="s">
        <v>476</v>
      </c>
      <c r="B45" s="129" t="s">
        <v>300</v>
      </c>
      <c r="C45" s="129" t="s">
        <v>627</v>
      </c>
      <c r="D45" s="133" t="s">
        <v>278</v>
      </c>
      <c r="E45" s="13"/>
      <c r="F45" s="126"/>
      <c r="G45" s="126"/>
      <c r="H45" s="126"/>
      <c r="I45" s="21" t="s">
        <v>160</v>
      </c>
      <c r="J45" s="84" t="s">
        <v>710</v>
      </c>
      <c r="K45" s="130"/>
      <c r="L45" s="130"/>
      <c r="M45" s="130"/>
      <c r="N45" s="130"/>
      <c r="O45" s="130"/>
      <c r="P45" s="130" t="s">
        <v>699</v>
      </c>
      <c r="Q45" s="130"/>
      <c r="R45" s="130" t="s">
        <v>699</v>
      </c>
      <c r="S45" s="130"/>
      <c r="T45" s="130"/>
      <c r="U45" s="130"/>
      <c r="V45" s="132" t="s">
        <v>86</v>
      </c>
    </row>
    <row r="46" spans="1:22" ht="28.8" x14ac:dyDescent="0.3">
      <c r="A46" s="117" t="s">
        <v>555</v>
      </c>
      <c r="B46" s="116" t="s">
        <v>394</v>
      </c>
      <c r="C46" s="157"/>
      <c r="D46" s="158"/>
      <c r="E46" s="158"/>
      <c r="F46" s="158"/>
      <c r="G46" s="158"/>
      <c r="H46" s="158"/>
      <c r="I46" s="158"/>
      <c r="J46" s="158"/>
      <c r="K46" s="158"/>
      <c r="L46" s="158"/>
      <c r="M46" s="158"/>
      <c r="N46" s="158"/>
      <c r="O46" s="158"/>
      <c r="P46" s="158"/>
      <c r="Q46" s="158"/>
      <c r="R46" s="158"/>
      <c r="S46" s="158"/>
      <c r="T46" s="158"/>
      <c r="U46" s="158"/>
      <c r="V46" s="159"/>
    </row>
    <row r="47" spans="1:22" ht="30" x14ac:dyDescent="0.3">
      <c r="A47" s="125" t="s">
        <v>550</v>
      </c>
      <c r="B47" s="129" t="s">
        <v>301</v>
      </c>
      <c r="C47" s="129" t="s">
        <v>627</v>
      </c>
      <c r="D47" s="133" t="s">
        <v>278</v>
      </c>
      <c r="E47" s="13"/>
      <c r="F47" s="126"/>
      <c r="G47" s="126"/>
      <c r="H47" s="126"/>
      <c r="I47" s="21" t="s">
        <v>160</v>
      </c>
      <c r="J47" s="84" t="s">
        <v>710</v>
      </c>
      <c r="K47" s="130"/>
      <c r="L47" s="130"/>
      <c r="M47" s="130"/>
      <c r="N47" s="130"/>
      <c r="O47" s="130"/>
      <c r="P47" s="130" t="s">
        <v>699</v>
      </c>
      <c r="Q47" s="130"/>
      <c r="R47" s="130" t="s">
        <v>699</v>
      </c>
      <c r="S47" s="130"/>
      <c r="T47" s="130"/>
      <c r="U47" s="130"/>
      <c r="V47" s="132" t="s">
        <v>86</v>
      </c>
    </row>
    <row r="48" spans="1:22" ht="28.8" x14ac:dyDescent="0.3">
      <c r="A48" s="117" t="s">
        <v>556</v>
      </c>
      <c r="B48" s="116" t="s">
        <v>395</v>
      </c>
      <c r="C48" s="157"/>
      <c r="D48" s="158"/>
      <c r="E48" s="158"/>
      <c r="F48" s="158"/>
      <c r="G48" s="158"/>
      <c r="H48" s="158"/>
      <c r="I48" s="158"/>
      <c r="J48" s="158"/>
      <c r="K48" s="158"/>
      <c r="L48" s="158"/>
      <c r="M48" s="158"/>
      <c r="N48" s="158"/>
      <c r="O48" s="158"/>
      <c r="P48" s="158"/>
      <c r="Q48" s="158"/>
      <c r="R48" s="158"/>
      <c r="S48" s="158"/>
      <c r="T48" s="158"/>
      <c r="U48" s="158"/>
      <c r="V48" s="159"/>
    </row>
    <row r="49" spans="1:22" ht="39.6" x14ac:dyDescent="0.3">
      <c r="A49" s="125" t="s">
        <v>557</v>
      </c>
      <c r="B49" s="129" t="s">
        <v>302</v>
      </c>
      <c r="C49" s="129" t="s">
        <v>627</v>
      </c>
      <c r="D49" s="133" t="s">
        <v>278</v>
      </c>
      <c r="E49" s="13"/>
      <c r="F49" s="126"/>
      <c r="G49" s="126"/>
      <c r="H49" s="126"/>
      <c r="I49" s="21" t="s">
        <v>160</v>
      </c>
      <c r="J49" s="84" t="s">
        <v>710</v>
      </c>
      <c r="K49" s="130"/>
      <c r="L49" s="130"/>
      <c r="M49" s="130" t="s">
        <v>699</v>
      </c>
      <c r="N49" s="130" t="s">
        <v>699</v>
      </c>
      <c r="O49" s="130"/>
      <c r="P49" s="130" t="s">
        <v>699</v>
      </c>
      <c r="Q49" s="130"/>
      <c r="R49" s="130"/>
      <c r="S49" s="130"/>
      <c r="T49" s="130"/>
      <c r="U49" s="130"/>
      <c r="V49" s="132" t="s">
        <v>86</v>
      </c>
    </row>
    <row r="50" spans="1:22" ht="28.8" x14ac:dyDescent="0.3">
      <c r="A50" s="117" t="s">
        <v>558</v>
      </c>
      <c r="B50" s="116" t="s">
        <v>396</v>
      </c>
      <c r="C50" s="157"/>
      <c r="D50" s="158"/>
      <c r="E50" s="158"/>
      <c r="F50" s="158"/>
      <c r="G50" s="158"/>
      <c r="H50" s="158"/>
      <c r="I50" s="158"/>
      <c r="J50" s="158"/>
      <c r="K50" s="158"/>
      <c r="L50" s="158"/>
      <c r="M50" s="158"/>
      <c r="N50" s="158"/>
      <c r="O50" s="158"/>
      <c r="P50" s="158"/>
      <c r="Q50" s="158"/>
      <c r="R50" s="158"/>
      <c r="S50" s="158"/>
      <c r="T50" s="158"/>
      <c r="U50" s="158"/>
      <c r="V50" s="159"/>
    </row>
    <row r="51" spans="1:22" ht="39.6" x14ac:dyDescent="0.3">
      <c r="A51" s="125" t="s">
        <v>616</v>
      </c>
      <c r="B51" s="129" t="s">
        <v>303</v>
      </c>
      <c r="C51" s="129" t="s">
        <v>628</v>
      </c>
      <c r="D51" s="133" t="s">
        <v>278</v>
      </c>
      <c r="E51" s="13"/>
      <c r="F51" s="126"/>
      <c r="G51" s="126"/>
      <c r="H51" s="126"/>
      <c r="I51" s="21" t="s">
        <v>160</v>
      </c>
      <c r="J51" s="84" t="s">
        <v>710</v>
      </c>
      <c r="K51" s="130"/>
      <c r="L51" s="130"/>
      <c r="M51" s="130" t="s">
        <v>699</v>
      </c>
      <c r="N51" s="130" t="s">
        <v>699</v>
      </c>
      <c r="O51" s="130"/>
      <c r="P51" s="130"/>
      <c r="Q51" s="130"/>
      <c r="R51" s="130"/>
      <c r="S51" s="130"/>
      <c r="T51" s="130"/>
      <c r="U51" s="130"/>
      <c r="V51" s="132" t="s">
        <v>86</v>
      </c>
    </row>
    <row r="52" spans="1:22" ht="28.8" x14ac:dyDescent="0.3">
      <c r="A52" s="117" t="s">
        <v>559</v>
      </c>
      <c r="B52" s="116" t="s">
        <v>397</v>
      </c>
      <c r="C52" s="157"/>
      <c r="D52" s="158"/>
      <c r="E52" s="158"/>
      <c r="F52" s="158"/>
      <c r="G52" s="158"/>
      <c r="H52" s="158"/>
      <c r="I52" s="158"/>
      <c r="J52" s="158"/>
      <c r="K52" s="158"/>
      <c r="L52" s="158"/>
      <c r="M52" s="158"/>
      <c r="N52" s="158"/>
      <c r="O52" s="158"/>
      <c r="P52" s="158"/>
      <c r="Q52" s="158"/>
      <c r="R52" s="158"/>
      <c r="S52" s="158"/>
      <c r="T52" s="158"/>
      <c r="U52" s="158"/>
      <c r="V52" s="159"/>
    </row>
    <row r="53" spans="1:22" ht="39.6" x14ac:dyDescent="0.3">
      <c r="A53" s="125" t="s">
        <v>617</v>
      </c>
      <c r="B53" s="129" t="s">
        <v>304</v>
      </c>
      <c r="C53" s="129" t="s">
        <v>629</v>
      </c>
      <c r="D53" s="133" t="s">
        <v>278</v>
      </c>
      <c r="E53" s="13"/>
      <c r="F53" s="126"/>
      <c r="G53" s="126"/>
      <c r="H53" s="126"/>
      <c r="I53" s="21" t="s">
        <v>160</v>
      </c>
      <c r="J53" s="84" t="s">
        <v>710</v>
      </c>
      <c r="K53" s="130"/>
      <c r="L53" s="130"/>
      <c r="M53" s="130" t="s">
        <v>699</v>
      </c>
      <c r="N53" s="130" t="s">
        <v>699</v>
      </c>
      <c r="O53" s="130"/>
      <c r="P53" s="130"/>
      <c r="Q53" s="130"/>
      <c r="R53" s="130"/>
      <c r="S53" s="130"/>
      <c r="T53" s="130"/>
      <c r="U53" s="130"/>
      <c r="V53" s="132" t="s">
        <v>86</v>
      </c>
    </row>
    <row r="54" spans="1:22" ht="28.8" x14ac:dyDescent="0.3">
      <c r="A54" s="117" t="s">
        <v>560</v>
      </c>
      <c r="B54" s="116" t="s">
        <v>398</v>
      </c>
      <c r="C54" s="157"/>
      <c r="D54" s="158"/>
      <c r="E54" s="158"/>
      <c r="F54" s="158"/>
      <c r="G54" s="158"/>
      <c r="H54" s="158"/>
      <c r="I54" s="158"/>
      <c r="J54" s="158"/>
      <c r="K54" s="158"/>
      <c r="L54" s="158"/>
      <c r="M54" s="158"/>
      <c r="N54" s="158"/>
      <c r="O54" s="158"/>
      <c r="P54" s="158"/>
      <c r="Q54" s="158"/>
      <c r="R54" s="158"/>
      <c r="S54" s="158"/>
      <c r="T54" s="158"/>
      <c r="U54" s="158"/>
      <c r="V54" s="159"/>
    </row>
    <row r="55" spans="1:22" ht="39.6" x14ac:dyDescent="0.3">
      <c r="A55" s="125" t="s">
        <v>561</v>
      </c>
      <c r="B55" s="129" t="s">
        <v>305</v>
      </c>
      <c r="C55" s="129" t="s">
        <v>629</v>
      </c>
      <c r="D55" s="133" t="s">
        <v>278</v>
      </c>
      <c r="E55" s="13"/>
      <c r="F55" s="126"/>
      <c r="G55" s="126"/>
      <c r="H55" s="126"/>
      <c r="I55" s="21" t="s">
        <v>160</v>
      </c>
      <c r="J55" s="84" t="s">
        <v>710</v>
      </c>
      <c r="K55" s="130" t="s">
        <v>699</v>
      </c>
      <c r="L55" s="130"/>
      <c r="M55" s="130" t="s">
        <v>699</v>
      </c>
      <c r="N55" s="130" t="s">
        <v>699</v>
      </c>
      <c r="O55" s="130"/>
      <c r="P55" s="130"/>
      <c r="Q55" s="130"/>
      <c r="R55" s="130"/>
      <c r="S55" s="130"/>
      <c r="T55" s="130"/>
      <c r="U55" s="130"/>
      <c r="V55" s="132" t="s">
        <v>86</v>
      </c>
    </row>
    <row r="56" spans="1:22" ht="28.8" x14ac:dyDescent="0.3">
      <c r="A56" s="117" t="s">
        <v>562</v>
      </c>
      <c r="B56" s="116" t="s">
        <v>399</v>
      </c>
      <c r="C56" s="157"/>
      <c r="D56" s="158"/>
      <c r="E56" s="158"/>
      <c r="F56" s="158"/>
      <c r="G56" s="158"/>
      <c r="H56" s="158"/>
      <c r="I56" s="158"/>
      <c r="J56" s="158"/>
      <c r="K56" s="158"/>
      <c r="L56" s="158"/>
      <c r="M56" s="158"/>
      <c r="N56" s="158"/>
      <c r="O56" s="158"/>
      <c r="P56" s="158"/>
      <c r="Q56" s="158"/>
      <c r="R56" s="158"/>
      <c r="S56" s="158"/>
      <c r="T56" s="158"/>
      <c r="U56" s="158"/>
      <c r="V56" s="159"/>
    </row>
    <row r="57" spans="1:22" ht="39.6" x14ac:dyDescent="0.3">
      <c r="A57" s="125" t="s">
        <v>618</v>
      </c>
      <c r="B57" s="129" t="s">
        <v>306</v>
      </c>
      <c r="C57" s="129" t="s">
        <v>629</v>
      </c>
      <c r="D57" s="133" t="s">
        <v>278</v>
      </c>
      <c r="E57" s="13"/>
      <c r="F57" s="126"/>
      <c r="G57" s="126"/>
      <c r="H57" s="126"/>
      <c r="I57" s="21" t="s">
        <v>160</v>
      </c>
      <c r="J57" s="84" t="s">
        <v>710</v>
      </c>
      <c r="K57" s="130" t="s">
        <v>699</v>
      </c>
      <c r="L57" s="130"/>
      <c r="M57" s="130" t="s">
        <v>699</v>
      </c>
      <c r="N57" s="130" t="s">
        <v>699</v>
      </c>
      <c r="O57" s="130"/>
      <c r="P57" s="130"/>
      <c r="Q57" s="130"/>
      <c r="R57" s="130"/>
      <c r="S57" s="130"/>
      <c r="T57" s="130"/>
      <c r="U57" s="130"/>
      <c r="V57" s="132" t="s">
        <v>86</v>
      </c>
    </row>
    <row r="58" spans="1:22" ht="28.8" x14ac:dyDescent="0.3">
      <c r="A58" s="117" t="s">
        <v>563</v>
      </c>
      <c r="B58" s="116" t="s">
        <v>400</v>
      </c>
      <c r="C58" s="157"/>
      <c r="D58" s="158"/>
      <c r="E58" s="158"/>
      <c r="F58" s="158"/>
      <c r="G58" s="158"/>
      <c r="H58" s="158"/>
      <c r="I58" s="158"/>
      <c r="J58" s="158"/>
      <c r="K58" s="158"/>
      <c r="L58" s="158"/>
      <c r="M58" s="158"/>
      <c r="N58" s="158"/>
      <c r="O58" s="158"/>
      <c r="P58" s="158"/>
      <c r="Q58" s="158"/>
      <c r="R58" s="158"/>
      <c r="S58" s="158"/>
      <c r="T58" s="158"/>
      <c r="U58" s="158"/>
      <c r="V58" s="159"/>
    </row>
    <row r="59" spans="1:22" ht="39.6" x14ac:dyDescent="0.3">
      <c r="A59" s="125" t="s">
        <v>619</v>
      </c>
      <c r="B59" s="129" t="s">
        <v>307</v>
      </c>
      <c r="C59" s="129" t="s">
        <v>629</v>
      </c>
      <c r="D59" s="133" t="s">
        <v>278</v>
      </c>
      <c r="E59" s="13"/>
      <c r="F59" s="126"/>
      <c r="G59" s="126"/>
      <c r="H59" s="126"/>
      <c r="I59" s="21" t="s">
        <v>160</v>
      </c>
      <c r="J59" s="84" t="s">
        <v>710</v>
      </c>
      <c r="K59" s="130"/>
      <c r="L59" s="130"/>
      <c r="M59" s="130" t="s">
        <v>699</v>
      </c>
      <c r="N59" s="130" t="s">
        <v>699</v>
      </c>
      <c r="O59" s="130"/>
      <c r="P59" s="130"/>
      <c r="Q59" s="130"/>
      <c r="R59" s="130"/>
      <c r="S59" s="130"/>
      <c r="T59" s="130"/>
      <c r="U59" s="130"/>
      <c r="V59" s="132" t="s">
        <v>86</v>
      </c>
    </row>
    <row r="60" spans="1:22" ht="28.8" x14ac:dyDescent="0.3">
      <c r="A60" s="117" t="s">
        <v>565</v>
      </c>
      <c r="B60" s="116" t="s">
        <v>401</v>
      </c>
      <c r="C60" s="157"/>
      <c r="D60" s="158"/>
      <c r="E60" s="158"/>
      <c r="F60" s="158"/>
      <c r="G60" s="158"/>
      <c r="H60" s="158"/>
      <c r="I60" s="158"/>
      <c r="J60" s="158"/>
      <c r="K60" s="158"/>
      <c r="L60" s="158"/>
      <c r="M60" s="158"/>
      <c r="N60" s="158"/>
      <c r="O60" s="158"/>
      <c r="P60" s="158"/>
      <c r="Q60" s="158"/>
      <c r="R60" s="158"/>
      <c r="S60" s="158"/>
      <c r="T60" s="158"/>
      <c r="U60" s="158"/>
      <c r="V60" s="159"/>
    </row>
    <row r="61" spans="1:22" ht="30" x14ac:dyDescent="0.3">
      <c r="A61" s="125" t="s">
        <v>564</v>
      </c>
      <c r="B61" s="129" t="s">
        <v>308</v>
      </c>
      <c r="C61" s="129" t="s">
        <v>630</v>
      </c>
      <c r="D61" s="133" t="s">
        <v>278</v>
      </c>
      <c r="E61" s="13"/>
      <c r="F61" s="126"/>
      <c r="G61" s="126"/>
      <c r="H61" s="126"/>
      <c r="I61" s="21" t="s">
        <v>160</v>
      </c>
      <c r="J61" s="84" t="s">
        <v>710</v>
      </c>
      <c r="K61" s="130" t="s">
        <v>699</v>
      </c>
      <c r="L61" s="130"/>
      <c r="M61" s="130" t="s">
        <v>699</v>
      </c>
      <c r="N61" s="130" t="s">
        <v>699</v>
      </c>
      <c r="O61" s="130"/>
      <c r="P61" s="130"/>
      <c r="Q61" s="130"/>
      <c r="R61" s="130"/>
      <c r="S61" s="130"/>
      <c r="T61" s="130"/>
      <c r="U61" s="130"/>
      <c r="V61" s="132" t="s">
        <v>86</v>
      </c>
    </row>
    <row r="62" spans="1:22" ht="28.8" x14ac:dyDescent="0.3">
      <c r="A62" s="117" t="s">
        <v>551</v>
      </c>
      <c r="B62" s="116" t="s">
        <v>552</v>
      </c>
      <c r="C62" s="157"/>
      <c r="D62" s="158"/>
      <c r="E62" s="158"/>
      <c r="F62" s="158"/>
      <c r="G62" s="158"/>
      <c r="H62" s="158"/>
      <c r="I62" s="158"/>
      <c r="J62" s="158"/>
      <c r="K62" s="158"/>
      <c r="L62" s="158"/>
      <c r="M62" s="158"/>
      <c r="N62" s="158"/>
      <c r="O62" s="158"/>
      <c r="P62" s="158"/>
      <c r="Q62" s="158"/>
      <c r="R62" s="158"/>
      <c r="S62" s="158"/>
      <c r="T62" s="158"/>
      <c r="U62" s="158"/>
      <c r="V62" s="159"/>
    </row>
    <row r="63" spans="1:22" ht="30" x14ac:dyDescent="0.3">
      <c r="A63" s="125" t="s">
        <v>553</v>
      </c>
      <c r="B63" s="129" t="s">
        <v>309</v>
      </c>
      <c r="C63" s="129" t="s">
        <v>630</v>
      </c>
      <c r="D63" s="133" t="s">
        <v>278</v>
      </c>
      <c r="E63" s="13"/>
      <c r="F63" s="126"/>
      <c r="G63" s="126"/>
      <c r="H63" s="126"/>
      <c r="I63" s="21" t="s">
        <v>160</v>
      </c>
      <c r="J63" s="84" t="s">
        <v>710</v>
      </c>
      <c r="K63" s="130" t="s">
        <v>699</v>
      </c>
      <c r="L63" s="130"/>
      <c r="M63" s="130" t="s">
        <v>699</v>
      </c>
      <c r="N63" s="130" t="s">
        <v>699</v>
      </c>
      <c r="O63" s="130"/>
      <c r="P63" s="130"/>
      <c r="Q63" s="130"/>
      <c r="R63" s="130"/>
      <c r="S63" s="130"/>
      <c r="T63" s="130"/>
      <c r="U63" s="130"/>
      <c r="V63" s="132" t="s">
        <v>86</v>
      </c>
    </row>
    <row r="64" spans="1:22" ht="27.6" x14ac:dyDescent="0.3">
      <c r="A64" s="117" t="s">
        <v>566</v>
      </c>
      <c r="B64" s="116" t="s">
        <v>402</v>
      </c>
      <c r="C64" s="157"/>
      <c r="D64" s="158"/>
      <c r="E64" s="158"/>
      <c r="F64" s="158"/>
      <c r="G64" s="158"/>
      <c r="H64" s="158"/>
      <c r="I64" s="158"/>
      <c r="J64" s="158"/>
      <c r="K64" s="158"/>
      <c r="L64" s="158"/>
      <c r="M64" s="158"/>
      <c r="N64" s="158"/>
      <c r="O64" s="158"/>
      <c r="P64" s="158"/>
      <c r="Q64" s="158"/>
      <c r="R64" s="158"/>
      <c r="S64" s="158"/>
      <c r="T64" s="158"/>
      <c r="U64" s="158"/>
      <c r="V64" s="159"/>
    </row>
    <row r="65" spans="1:22" ht="39.6" x14ac:dyDescent="0.3">
      <c r="A65" s="125" t="s">
        <v>554</v>
      </c>
      <c r="B65" s="129" t="s">
        <v>310</v>
      </c>
      <c r="C65" s="129" t="s">
        <v>631</v>
      </c>
      <c r="D65" s="133" t="s">
        <v>278</v>
      </c>
      <c r="E65" s="13"/>
      <c r="F65" s="126"/>
      <c r="G65" s="126"/>
      <c r="H65" s="126"/>
      <c r="I65" s="21" t="s">
        <v>160</v>
      </c>
      <c r="J65" s="84" t="s">
        <v>710</v>
      </c>
      <c r="K65" s="130"/>
      <c r="L65" s="130"/>
      <c r="M65" s="130"/>
      <c r="N65" s="130"/>
      <c r="O65" s="130"/>
      <c r="P65" s="130" t="s">
        <v>699</v>
      </c>
      <c r="Q65" s="130"/>
      <c r="R65" s="130"/>
      <c r="S65" s="130"/>
      <c r="T65" s="130"/>
      <c r="U65" s="130"/>
      <c r="V65" s="132" t="s">
        <v>86</v>
      </c>
    </row>
    <row r="66" spans="1:22" ht="28.8" x14ac:dyDescent="0.3">
      <c r="A66" s="117" t="s">
        <v>655</v>
      </c>
      <c r="B66" s="116" t="s">
        <v>403</v>
      </c>
      <c r="C66" s="157"/>
      <c r="D66" s="158"/>
      <c r="E66" s="158"/>
      <c r="F66" s="158"/>
      <c r="G66" s="158"/>
      <c r="H66" s="158"/>
      <c r="I66" s="158"/>
      <c r="J66" s="158"/>
      <c r="K66" s="158"/>
      <c r="L66" s="158"/>
      <c r="M66" s="158"/>
      <c r="N66" s="158"/>
      <c r="O66" s="158"/>
      <c r="P66" s="158"/>
      <c r="Q66" s="158"/>
      <c r="R66" s="158"/>
      <c r="S66" s="158"/>
      <c r="T66" s="158"/>
      <c r="U66" s="158"/>
      <c r="V66" s="159"/>
    </row>
    <row r="67" spans="1:22" ht="30" x14ac:dyDescent="0.3">
      <c r="A67" s="125" t="s">
        <v>656</v>
      </c>
      <c r="B67" s="129" t="s">
        <v>311</v>
      </c>
      <c r="C67" s="129" t="s">
        <v>631</v>
      </c>
      <c r="D67" s="133" t="s">
        <v>278</v>
      </c>
      <c r="E67" s="13"/>
      <c r="F67" s="126"/>
      <c r="G67" s="126"/>
      <c r="H67" s="126"/>
      <c r="I67" s="21" t="s">
        <v>160</v>
      </c>
      <c r="J67" s="84" t="s">
        <v>710</v>
      </c>
      <c r="K67" s="130"/>
      <c r="L67" s="130"/>
      <c r="M67" s="130"/>
      <c r="N67" s="130"/>
      <c r="O67" s="130"/>
      <c r="P67" s="130" t="s">
        <v>699</v>
      </c>
      <c r="Q67" s="130"/>
      <c r="R67" s="130"/>
      <c r="S67" s="130"/>
      <c r="T67" s="130"/>
      <c r="U67" s="130"/>
      <c r="V67" s="132" t="s">
        <v>86</v>
      </c>
    </row>
    <row r="68" spans="1:22" ht="28.8" x14ac:dyDescent="0.3">
      <c r="A68" s="117" t="s">
        <v>657</v>
      </c>
      <c r="B68" s="116" t="s">
        <v>404</v>
      </c>
      <c r="C68" s="157"/>
      <c r="D68" s="158"/>
      <c r="E68" s="158"/>
      <c r="F68" s="158"/>
      <c r="G68" s="158"/>
      <c r="H68" s="158"/>
      <c r="I68" s="158"/>
      <c r="J68" s="158"/>
      <c r="K68" s="158"/>
      <c r="L68" s="158"/>
      <c r="M68" s="158"/>
      <c r="N68" s="158"/>
      <c r="O68" s="158"/>
      <c r="P68" s="158"/>
      <c r="Q68" s="158"/>
      <c r="R68" s="158"/>
      <c r="S68" s="158"/>
      <c r="T68" s="158"/>
      <c r="U68" s="158"/>
      <c r="V68" s="159"/>
    </row>
    <row r="69" spans="1:22" ht="39.6" x14ac:dyDescent="0.3">
      <c r="A69" s="125" t="s">
        <v>658</v>
      </c>
      <c r="B69" s="129" t="s">
        <v>312</v>
      </c>
      <c r="C69" s="129" t="s">
        <v>632</v>
      </c>
      <c r="D69" s="133" t="s">
        <v>278</v>
      </c>
      <c r="E69" s="13"/>
      <c r="F69" s="126"/>
      <c r="G69" s="126"/>
      <c r="H69" s="126"/>
      <c r="I69" s="21" t="s">
        <v>160</v>
      </c>
      <c r="J69" s="84" t="s">
        <v>710</v>
      </c>
      <c r="K69" s="130"/>
      <c r="L69" s="130"/>
      <c r="M69" s="130" t="s">
        <v>699</v>
      </c>
      <c r="N69" s="130" t="s">
        <v>699</v>
      </c>
      <c r="O69" s="130"/>
      <c r="P69" s="130"/>
      <c r="Q69" s="130"/>
      <c r="R69" s="130"/>
      <c r="S69" s="130"/>
      <c r="T69" s="130"/>
      <c r="U69" s="130"/>
      <c r="V69" s="132" t="s">
        <v>86</v>
      </c>
    </row>
    <row r="70" spans="1:22" ht="28.8" x14ac:dyDescent="0.3">
      <c r="A70" s="117" t="s">
        <v>659</v>
      </c>
      <c r="B70" s="116" t="s">
        <v>405</v>
      </c>
      <c r="C70" s="157"/>
      <c r="D70" s="158"/>
      <c r="E70" s="158"/>
      <c r="F70" s="158"/>
      <c r="G70" s="158"/>
      <c r="H70" s="158"/>
      <c r="I70" s="158"/>
      <c r="J70" s="158"/>
      <c r="K70" s="158"/>
      <c r="L70" s="158"/>
      <c r="M70" s="158"/>
      <c r="N70" s="158"/>
      <c r="O70" s="158"/>
      <c r="P70" s="158"/>
      <c r="Q70" s="158"/>
      <c r="R70" s="158"/>
      <c r="S70" s="158"/>
      <c r="T70" s="158"/>
      <c r="U70" s="158"/>
      <c r="V70" s="159"/>
    </row>
    <row r="71" spans="1:22" ht="39.6" x14ac:dyDescent="0.3">
      <c r="A71" s="125" t="s">
        <v>660</v>
      </c>
      <c r="B71" s="129" t="s">
        <v>313</v>
      </c>
      <c r="C71" s="129" t="s">
        <v>633</v>
      </c>
      <c r="D71" s="133" t="s">
        <v>278</v>
      </c>
      <c r="E71" s="13"/>
      <c r="F71" s="126"/>
      <c r="G71" s="126"/>
      <c r="H71" s="126"/>
      <c r="I71" s="21" t="s">
        <v>160</v>
      </c>
      <c r="J71" s="84" t="s">
        <v>710</v>
      </c>
      <c r="K71" s="130"/>
      <c r="L71" s="130"/>
      <c r="M71" s="130"/>
      <c r="N71" s="130"/>
      <c r="O71" s="130"/>
      <c r="P71" s="130" t="s">
        <v>699</v>
      </c>
      <c r="Q71" s="130"/>
      <c r="R71" s="130"/>
      <c r="S71" s="130"/>
      <c r="T71" s="130"/>
      <c r="U71" s="130"/>
      <c r="V71" s="132" t="s">
        <v>86</v>
      </c>
    </row>
    <row r="72" spans="1:22" ht="28.8" x14ac:dyDescent="0.3">
      <c r="A72" s="117" t="s">
        <v>661</v>
      </c>
      <c r="B72" s="116" t="s">
        <v>406</v>
      </c>
      <c r="C72" s="157"/>
      <c r="D72" s="158"/>
      <c r="E72" s="158"/>
      <c r="F72" s="158"/>
      <c r="G72" s="158"/>
      <c r="H72" s="158"/>
      <c r="I72" s="158"/>
      <c r="J72" s="158"/>
      <c r="K72" s="158"/>
      <c r="L72" s="158"/>
      <c r="M72" s="158"/>
      <c r="N72" s="158"/>
      <c r="O72" s="158"/>
      <c r="P72" s="158"/>
      <c r="Q72" s="158"/>
      <c r="R72" s="158"/>
      <c r="S72" s="158"/>
      <c r="T72" s="158"/>
      <c r="U72" s="158"/>
      <c r="V72" s="159"/>
    </row>
    <row r="73" spans="1:22" ht="39.6" x14ac:dyDescent="0.3">
      <c r="A73" s="125" t="s">
        <v>662</v>
      </c>
      <c r="B73" s="129" t="s">
        <v>314</v>
      </c>
      <c r="C73" s="129" t="s">
        <v>634</v>
      </c>
      <c r="D73" s="133" t="s">
        <v>278</v>
      </c>
      <c r="E73" s="13"/>
      <c r="F73" s="126"/>
      <c r="G73" s="126"/>
      <c r="H73" s="126"/>
      <c r="I73" s="21" t="s">
        <v>160</v>
      </c>
      <c r="J73" s="84" t="s">
        <v>710</v>
      </c>
      <c r="K73" s="130" t="s">
        <v>699</v>
      </c>
      <c r="L73" s="130"/>
      <c r="M73" s="130" t="s">
        <v>699</v>
      </c>
      <c r="N73" s="130"/>
      <c r="O73" s="130"/>
      <c r="P73" s="130"/>
      <c r="Q73" s="130"/>
      <c r="R73" s="130"/>
      <c r="S73" s="130"/>
      <c r="T73" s="130"/>
      <c r="U73" s="130"/>
      <c r="V73" s="132" t="s">
        <v>86</v>
      </c>
    </row>
    <row r="74" spans="1:22" ht="28.8" x14ac:dyDescent="0.3">
      <c r="A74" s="117" t="s">
        <v>663</v>
      </c>
      <c r="B74" s="116" t="s">
        <v>407</v>
      </c>
      <c r="C74" s="157"/>
      <c r="D74" s="158"/>
      <c r="E74" s="158"/>
      <c r="F74" s="158"/>
      <c r="G74" s="158"/>
      <c r="H74" s="158"/>
      <c r="I74" s="158"/>
      <c r="J74" s="158"/>
      <c r="K74" s="158"/>
      <c r="L74" s="158"/>
      <c r="M74" s="158"/>
      <c r="N74" s="158"/>
      <c r="O74" s="158"/>
      <c r="P74" s="158"/>
      <c r="Q74" s="158"/>
      <c r="R74" s="158"/>
      <c r="S74" s="158"/>
      <c r="T74" s="158"/>
      <c r="U74" s="158"/>
      <c r="V74" s="159"/>
    </row>
    <row r="75" spans="1:22" ht="30" x14ac:dyDescent="0.3">
      <c r="A75" s="125" t="s">
        <v>664</v>
      </c>
      <c r="B75" s="129" t="s">
        <v>315</v>
      </c>
      <c r="C75" s="129" t="s">
        <v>635</v>
      </c>
      <c r="D75" s="133" t="s">
        <v>278</v>
      </c>
      <c r="E75" s="13"/>
      <c r="F75" s="126"/>
      <c r="G75" s="126"/>
      <c r="H75" s="126"/>
      <c r="I75" s="21" t="s">
        <v>160</v>
      </c>
      <c r="J75" s="84" t="s">
        <v>710</v>
      </c>
      <c r="K75" s="130" t="s">
        <v>699</v>
      </c>
      <c r="L75" s="130"/>
      <c r="M75" s="130" t="s">
        <v>699</v>
      </c>
      <c r="N75" s="130"/>
      <c r="O75" s="130"/>
      <c r="P75" s="130" t="s">
        <v>699</v>
      </c>
      <c r="Q75" s="130"/>
      <c r="R75" s="130"/>
      <c r="S75" s="130"/>
      <c r="T75" s="130"/>
      <c r="U75" s="130"/>
      <c r="V75" s="132" t="s">
        <v>86</v>
      </c>
    </row>
    <row r="76" spans="1:22" ht="28.8" x14ac:dyDescent="0.3">
      <c r="A76" s="117" t="s">
        <v>665</v>
      </c>
      <c r="B76" s="116" t="s">
        <v>408</v>
      </c>
      <c r="C76" s="157"/>
      <c r="D76" s="158"/>
      <c r="E76" s="158"/>
      <c r="F76" s="158"/>
      <c r="G76" s="158"/>
      <c r="H76" s="158"/>
      <c r="I76" s="158"/>
      <c r="J76" s="158"/>
      <c r="K76" s="158"/>
      <c r="L76" s="158"/>
      <c r="M76" s="158"/>
      <c r="N76" s="158"/>
      <c r="O76" s="158"/>
      <c r="P76" s="158"/>
      <c r="Q76" s="158"/>
      <c r="R76" s="158"/>
      <c r="S76" s="158"/>
      <c r="T76" s="158"/>
      <c r="U76" s="158"/>
      <c r="V76" s="159"/>
    </row>
    <row r="77" spans="1:22" ht="118.8" x14ac:dyDescent="0.3">
      <c r="A77" s="125" t="s">
        <v>666</v>
      </c>
      <c r="B77" s="129" t="s">
        <v>316</v>
      </c>
      <c r="C77" s="129" t="s">
        <v>636</v>
      </c>
      <c r="D77" s="133" t="s">
        <v>278</v>
      </c>
      <c r="E77" s="13"/>
      <c r="F77" s="126"/>
      <c r="G77" s="126"/>
      <c r="H77" s="126"/>
      <c r="I77" s="21" t="s">
        <v>81</v>
      </c>
      <c r="J77" s="84" t="s">
        <v>710</v>
      </c>
      <c r="K77" s="130" t="s">
        <v>699</v>
      </c>
      <c r="L77" s="130" t="s">
        <v>699</v>
      </c>
      <c r="M77" s="130" t="s">
        <v>699</v>
      </c>
      <c r="N77" s="130" t="s">
        <v>699</v>
      </c>
      <c r="O77" s="130" t="s">
        <v>699</v>
      </c>
      <c r="P77" s="130" t="s">
        <v>699</v>
      </c>
      <c r="Q77" s="130" t="s">
        <v>699</v>
      </c>
      <c r="R77" s="130" t="s">
        <v>699</v>
      </c>
      <c r="S77" s="130"/>
      <c r="T77" s="130" t="s">
        <v>699</v>
      </c>
      <c r="U77" s="130" t="s">
        <v>699</v>
      </c>
      <c r="V77" s="132" t="s">
        <v>86</v>
      </c>
    </row>
    <row r="78" spans="1:22" ht="21" x14ac:dyDescent="0.3">
      <c r="A78" s="117" t="s">
        <v>518</v>
      </c>
      <c r="B78" s="112" t="s">
        <v>467</v>
      </c>
      <c r="C78" s="157"/>
      <c r="D78" s="158"/>
      <c r="E78" s="158"/>
      <c r="F78" s="158"/>
      <c r="G78" s="158"/>
      <c r="H78" s="158"/>
      <c r="I78" s="158"/>
      <c r="J78" s="158"/>
      <c r="K78" s="158"/>
      <c r="L78" s="158"/>
      <c r="M78" s="158"/>
      <c r="N78" s="158"/>
      <c r="O78" s="158"/>
      <c r="P78" s="158"/>
      <c r="Q78" s="158"/>
      <c r="R78" s="158"/>
      <c r="S78" s="158"/>
      <c r="T78" s="158"/>
      <c r="U78" s="158"/>
      <c r="V78" s="159"/>
    </row>
    <row r="79" spans="1:22" ht="24" x14ac:dyDescent="0.3">
      <c r="A79" s="117" t="s">
        <v>519</v>
      </c>
      <c r="B79" s="116" t="s">
        <v>409</v>
      </c>
      <c r="C79" s="157"/>
      <c r="D79" s="158"/>
      <c r="E79" s="158"/>
      <c r="F79" s="158"/>
      <c r="G79" s="158"/>
      <c r="H79" s="158"/>
      <c r="I79" s="158"/>
      <c r="J79" s="158"/>
      <c r="K79" s="158"/>
      <c r="L79" s="158"/>
      <c r="M79" s="158"/>
      <c r="N79" s="158"/>
      <c r="O79" s="158"/>
      <c r="P79" s="158"/>
      <c r="Q79" s="158"/>
      <c r="R79" s="158"/>
      <c r="S79" s="158"/>
      <c r="T79" s="158"/>
      <c r="U79" s="158"/>
      <c r="V79" s="159"/>
    </row>
    <row r="80" spans="1:22" ht="66" x14ac:dyDescent="0.3">
      <c r="A80" s="125" t="s">
        <v>615</v>
      </c>
      <c r="B80" s="129" t="s">
        <v>317</v>
      </c>
      <c r="C80" s="129" t="s">
        <v>637</v>
      </c>
      <c r="D80" s="133" t="s">
        <v>278</v>
      </c>
      <c r="E80" s="13"/>
      <c r="F80" s="126"/>
      <c r="G80" s="126"/>
      <c r="H80" s="126"/>
      <c r="I80" s="21" t="s">
        <v>160</v>
      </c>
      <c r="J80" s="84" t="s">
        <v>710</v>
      </c>
      <c r="K80" s="130"/>
      <c r="L80" s="130" t="s">
        <v>699</v>
      </c>
      <c r="M80" s="130"/>
      <c r="N80" s="130"/>
      <c r="O80" s="130"/>
      <c r="P80" s="130"/>
      <c r="Q80" s="130"/>
      <c r="R80" s="130"/>
      <c r="S80" s="130"/>
      <c r="T80" s="130"/>
      <c r="U80" s="130"/>
      <c r="V80" s="132" t="s">
        <v>86</v>
      </c>
    </row>
    <row r="81" spans="1:22" ht="25.2" x14ac:dyDescent="0.3">
      <c r="A81" s="117" t="s">
        <v>667</v>
      </c>
      <c r="B81" s="116" t="s">
        <v>410</v>
      </c>
      <c r="C81" s="157"/>
      <c r="D81" s="158"/>
      <c r="E81" s="158"/>
      <c r="F81" s="158"/>
      <c r="G81" s="158"/>
      <c r="H81" s="158"/>
      <c r="I81" s="158"/>
      <c r="J81" s="158"/>
      <c r="K81" s="158"/>
      <c r="L81" s="158"/>
      <c r="M81" s="158"/>
      <c r="N81" s="158"/>
      <c r="O81" s="158"/>
      <c r="P81" s="158"/>
      <c r="Q81" s="158"/>
      <c r="R81" s="158"/>
      <c r="S81" s="158"/>
      <c r="T81" s="158"/>
      <c r="U81" s="158"/>
      <c r="V81" s="159"/>
    </row>
    <row r="82" spans="1:22" ht="26.4" x14ac:dyDescent="0.3">
      <c r="A82" s="125" t="s">
        <v>668</v>
      </c>
      <c r="B82" s="129" t="s">
        <v>318</v>
      </c>
      <c r="C82" s="129" t="s">
        <v>637</v>
      </c>
      <c r="D82" s="133" t="s">
        <v>278</v>
      </c>
      <c r="E82" s="13"/>
      <c r="F82" s="126"/>
      <c r="G82" s="126"/>
      <c r="H82" s="126"/>
      <c r="I82" s="21" t="s">
        <v>160</v>
      </c>
      <c r="J82" s="84" t="s">
        <v>710</v>
      </c>
      <c r="K82" s="130"/>
      <c r="L82" s="130" t="s">
        <v>699</v>
      </c>
      <c r="M82" s="130"/>
      <c r="N82" s="130"/>
      <c r="O82" s="130"/>
      <c r="P82" s="130"/>
      <c r="Q82" s="130"/>
      <c r="R82" s="130"/>
      <c r="S82" s="130"/>
      <c r="T82" s="130"/>
      <c r="U82" s="130"/>
      <c r="V82" s="132" t="s">
        <v>86</v>
      </c>
    </row>
    <row r="83" spans="1:22" ht="25.2" x14ac:dyDescent="0.3">
      <c r="A83" s="117" t="s">
        <v>669</v>
      </c>
      <c r="B83" s="116" t="s">
        <v>411</v>
      </c>
      <c r="C83" s="157"/>
      <c r="D83" s="158"/>
      <c r="E83" s="158"/>
      <c r="F83" s="158"/>
      <c r="G83" s="158"/>
      <c r="H83" s="158"/>
      <c r="I83" s="158"/>
      <c r="J83" s="158"/>
      <c r="K83" s="158"/>
      <c r="L83" s="158"/>
      <c r="M83" s="158"/>
      <c r="N83" s="158"/>
      <c r="O83" s="158"/>
      <c r="P83" s="158"/>
      <c r="Q83" s="158"/>
      <c r="R83" s="158"/>
      <c r="S83" s="158"/>
      <c r="T83" s="158"/>
      <c r="U83" s="158"/>
      <c r="V83" s="159"/>
    </row>
    <row r="84" spans="1:22" ht="52.8" x14ac:dyDescent="0.3">
      <c r="A84" s="125" t="s">
        <v>670</v>
      </c>
      <c r="B84" s="129" t="s">
        <v>319</v>
      </c>
      <c r="C84" s="129" t="s">
        <v>637</v>
      </c>
      <c r="D84" s="133" t="s">
        <v>278</v>
      </c>
      <c r="E84" s="13"/>
      <c r="F84" s="126"/>
      <c r="G84" s="126"/>
      <c r="H84" s="126"/>
      <c r="I84" s="21" t="s">
        <v>160</v>
      </c>
      <c r="J84" s="84" t="s">
        <v>710</v>
      </c>
      <c r="K84" s="130" t="s">
        <v>699</v>
      </c>
      <c r="L84" s="130" t="s">
        <v>699</v>
      </c>
      <c r="M84" s="130" t="s">
        <v>699</v>
      </c>
      <c r="N84" s="130"/>
      <c r="O84" s="130"/>
      <c r="P84" s="130"/>
      <c r="Q84" s="130"/>
      <c r="R84" s="130"/>
      <c r="S84" s="130"/>
      <c r="T84" s="130"/>
      <c r="U84" s="130"/>
      <c r="V84" s="132" t="s">
        <v>86</v>
      </c>
    </row>
    <row r="85" spans="1:22" ht="25.2" x14ac:dyDescent="0.3">
      <c r="A85" s="117" t="s">
        <v>671</v>
      </c>
      <c r="B85" s="116" t="s">
        <v>412</v>
      </c>
      <c r="C85" s="157"/>
      <c r="D85" s="158"/>
      <c r="E85" s="158"/>
      <c r="F85" s="158"/>
      <c r="G85" s="158"/>
      <c r="H85" s="158"/>
      <c r="I85" s="158"/>
      <c r="J85" s="158"/>
      <c r="K85" s="158"/>
      <c r="L85" s="158"/>
      <c r="M85" s="158"/>
      <c r="N85" s="158"/>
      <c r="O85" s="158"/>
      <c r="P85" s="158"/>
      <c r="Q85" s="158"/>
      <c r="R85" s="158"/>
      <c r="S85" s="158"/>
      <c r="T85" s="158"/>
      <c r="U85" s="158"/>
      <c r="V85" s="159"/>
    </row>
    <row r="86" spans="1:22" ht="39.6" x14ac:dyDescent="0.3">
      <c r="A86" s="125" t="s">
        <v>672</v>
      </c>
      <c r="B86" s="129" t="s">
        <v>320</v>
      </c>
      <c r="C86" s="129" t="s">
        <v>637</v>
      </c>
      <c r="D86" s="133" t="s">
        <v>278</v>
      </c>
      <c r="E86" s="13"/>
      <c r="F86" s="126"/>
      <c r="G86" s="126"/>
      <c r="H86" s="126"/>
      <c r="I86" s="21" t="s">
        <v>160</v>
      </c>
      <c r="J86" s="84" t="s">
        <v>710</v>
      </c>
      <c r="K86" s="130"/>
      <c r="L86" s="130" t="s">
        <v>699</v>
      </c>
      <c r="M86" s="130"/>
      <c r="N86" s="130"/>
      <c r="O86" s="130"/>
      <c r="P86" s="130"/>
      <c r="Q86" s="130"/>
      <c r="R86" s="130"/>
      <c r="S86" s="130"/>
      <c r="T86" s="130"/>
      <c r="U86" s="130"/>
      <c r="V86" s="132" t="s">
        <v>86</v>
      </c>
    </row>
    <row r="87" spans="1:22" ht="25.2" x14ac:dyDescent="0.3">
      <c r="A87" s="117" t="s">
        <v>673</v>
      </c>
      <c r="B87" s="116" t="s">
        <v>413</v>
      </c>
      <c r="C87" s="157"/>
      <c r="D87" s="158"/>
      <c r="E87" s="158"/>
      <c r="F87" s="158"/>
      <c r="G87" s="158"/>
      <c r="H87" s="158"/>
      <c r="I87" s="158"/>
      <c r="J87" s="158"/>
      <c r="K87" s="158"/>
      <c r="L87" s="158"/>
      <c r="M87" s="158"/>
      <c r="N87" s="158"/>
      <c r="O87" s="158"/>
      <c r="P87" s="158"/>
      <c r="Q87" s="158"/>
      <c r="R87" s="158"/>
      <c r="S87" s="158"/>
      <c r="T87" s="158"/>
      <c r="U87" s="158"/>
      <c r="V87" s="159"/>
    </row>
    <row r="88" spans="1:22" ht="39.6" x14ac:dyDescent="0.3">
      <c r="A88" s="125" t="s">
        <v>674</v>
      </c>
      <c r="B88" s="129" t="s">
        <v>321</v>
      </c>
      <c r="C88" s="129" t="s">
        <v>638</v>
      </c>
      <c r="D88" s="133" t="s">
        <v>278</v>
      </c>
      <c r="E88" s="13"/>
      <c r="F88" s="126"/>
      <c r="G88" s="126"/>
      <c r="H88" s="126"/>
      <c r="I88" s="21" t="s">
        <v>160</v>
      </c>
      <c r="J88" s="84" t="s">
        <v>710</v>
      </c>
      <c r="K88" s="130"/>
      <c r="L88" s="130" t="s">
        <v>699</v>
      </c>
      <c r="M88" s="130"/>
      <c r="N88" s="130"/>
      <c r="O88" s="130"/>
      <c r="P88" s="130"/>
      <c r="Q88" s="130"/>
      <c r="R88" s="130"/>
      <c r="S88" s="130"/>
      <c r="T88" s="130"/>
      <c r="U88" s="130"/>
      <c r="V88" s="132" t="s">
        <v>86</v>
      </c>
    </row>
    <row r="89" spans="1:22" ht="25.2" x14ac:dyDescent="0.3">
      <c r="A89" s="117" t="s">
        <v>675</v>
      </c>
      <c r="B89" s="116" t="s">
        <v>414</v>
      </c>
      <c r="C89" s="157"/>
      <c r="D89" s="158"/>
      <c r="E89" s="158"/>
      <c r="F89" s="158"/>
      <c r="G89" s="158"/>
      <c r="H89" s="158"/>
      <c r="I89" s="158"/>
      <c r="J89" s="158"/>
      <c r="K89" s="158"/>
      <c r="L89" s="158"/>
      <c r="M89" s="158"/>
      <c r="N89" s="158"/>
      <c r="O89" s="158"/>
      <c r="P89" s="158"/>
      <c r="Q89" s="158"/>
      <c r="R89" s="158"/>
      <c r="S89" s="158"/>
      <c r="T89" s="158"/>
      <c r="U89" s="158"/>
      <c r="V89" s="159"/>
    </row>
    <row r="90" spans="1:22" ht="39.6" x14ac:dyDescent="0.3">
      <c r="A90" s="125" t="s">
        <v>676</v>
      </c>
      <c r="B90" s="129" t="s">
        <v>322</v>
      </c>
      <c r="C90" s="129" t="s">
        <v>639</v>
      </c>
      <c r="D90" s="133" t="s">
        <v>278</v>
      </c>
      <c r="E90" s="13"/>
      <c r="F90" s="126"/>
      <c r="G90" s="126"/>
      <c r="H90" s="126"/>
      <c r="I90" s="21" t="s">
        <v>160</v>
      </c>
      <c r="J90" s="84" t="s">
        <v>710</v>
      </c>
      <c r="K90" s="130"/>
      <c r="L90" s="130" t="s">
        <v>699</v>
      </c>
      <c r="M90" s="130" t="s">
        <v>699</v>
      </c>
      <c r="N90" s="130"/>
      <c r="O90" s="130"/>
      <c r="P90" s="130" t="s">
        <v>699</v>
      </c>
      <c r="Q90" s="130"/>
      <c r="R90" s="130" t="s">
        <v>699</v>
      </c>
      <c r="S90" s="130"/>
      <c r="T90" s="130"/>
      <c r="U90" s="130"/>
      <c r="V90" s="132" t="s">
        <v>86</v>
      </c>
    </row>
    <row r="91" spans="1:22" ht="25.2" x14ac:dyDescent="0.3">
      <c r="A91" s="117" t="s">
        <v>677</v>
      </c>
      <c r="B91" s="116" t="s">
        <v>415</v>
      </c>
      <c r="C91" s="157"/>
      <c r="D91" s="158"/>
      <c r="E91" s="158"/>
      <c r="F91" s="158"/>
      <c r="G91" s="158"/>
      <c r="H91" s="158"/>
      <c r="I91" s="158"/>
      <c r="J91" s="158"/>
      <c r="K91" s="158"/>
      <c r="L91" s="158"/>
      <c r="M91" s="158"/>
      <c r="N91" s="158"/>
      <c r="O91" s="158"/>
      <c r="P91" s="158"/>
      <c r="Q91" s="158"/>
      <c r="R91" s="158"/>
      <c r="S91" s="158"/>
      <c r="T91" s="158"/>
      <c r="U91" s="158"/>
      <c r="V91" s="159"/>
    </row>
    <row r="92" spans="1:22" ht="52.8" x14ac:dyDescent="0.3">
      <c r="A92" s="125" t="s">
        <v>678</v>
      </c>
      <c r="B92" s="129" t="s">
        <v>323</v>
      </c>
      <c r="C92" s="129" t="s">
        <v>640</v>
      </c>
      <c r="D92" s="133" t="s">
        <v>278</v>
      </c>
      <c r="E92" s="13"/>
      <c r="F92" s="126"/>
      <c r="G92" s="126"/>
      <c r="H92" s="126"/>
      <c r="I92" s="21" t="s">
        <v>160</v>
      </c>
      <c r="J92" s="84" t="s">
        <v>710</v>
      </c>
      <c r="K92" s="130"/>
      <c r="L92" s="130" t="s">
        <v>699</v>
      </c>
      <c r="M92" s="130"/>
      <c r="N92" s="130"/>
      <c r="O92" s="130"/>
      <c r="P92" s="130"/>
      <c r="Q92" s="130"/>
      <c r="R92" s="130"/>
      <c r="S92" s="130"/>
      <c r="T92" s="130"/>
      <c r="U92" s="130"/>
      <c r="V92" s="132" t="s">
        <v>86</v>
      </c>
    </row>
    <row r="93" spans="1:22" ht="25.2" x14ac:dyDescent="0.3">
      <c r="A93" s="117" t="s">
        <v>679</v>
      </c>
      <c r="B93" s="116" t="s">
        <v>416</v>
      </c>
      <c r="C93" s="157"/>
      <c r="D93" s="158"/>
      <c r="E93" s="158"/>
      <c r="F93" s="158"/>
      <c r="G93" s="158"/>
      <c r="H93" s="158"/>
      <c r="I93" s="158"/>
      <c r="J93" s="158"/>
      <c r="K93" s="158"/>
      <c r="L93" s="158"/>
      <c r="M93" s="158"/>
      <c r="N93" s="158"/>
      <c r="O93" s="158"/>
      <c r="P93" s="158"/>
      <c r="Q93" s="158"/>
      <c r="R93" s="158"/>
      <c r="S93" s="158"/>
      <c r="T93" s="158"/>
      <c r="U93" s="158"/>
      <c r="V93" s="159"/>
    </row>
    <row r="94" spans="1:22" ht="39.6" x14ac:dyDescent="0.3">
      <c r="A94" s="125" t="s">
        <v>680</v>
      </c>
      <c r="B94" s="129" t="s">
        <v>324</v>
      </c>
      <c r="C94" s="129" t="s">
        <v>629</v>
      </c>
      <c r="D94" s="133" t="s">
        <v>278</v>
      </c>
      <c r="E94" s="13"/>
      <c r="F94" s="126"/>
      <c r="G94" s="126"/>
      <c r="H94" s="126"/>
      <c r="I94" s="21" t="s">
        <v>160</v>
      </c>
      <c r="J94" s="84" t="s">
        <v>710</v>
      </c>
      <c r="K94" s="130"/>
      <c r="L94" s="130"/>
      <c r="M94" s="130" t="s">
        <v>699</v>
      </c>
      <c r="N94" s="130" t="s">
        <v>699</v>
      </c>
      <c r="O94" s="130"/>
      <c r="P94" s="130"/>
      <c r="Q94" s="130"/>
      <c r="R94" s="130"/>
      <c r="S94" s="130"/>
      <c r="T94" s="130"/>
      <c r="U94" s="130"/>
      <c r="V94" s="132" t="s">
        <v>86</v>
      </c>
    </row>
    <row r="95" spans="1:22" ht="21" x14ac:dyDescent="0.3">
      <c r="A95" s="117" t="s">
        <v>520</v>
      </c>
      <c r="B95" s="112" t="s">
        <v>469</v>
      </c>
      <c r="C95" s="157"/>
      <c r="D95" s="158"/>
      <c r="E95" s="158"/>
      <c r="F95" s="158"/>
      <c r="G95" s="158"/>
      <c r="H95" s="158"/>
      <c r="I95" s="158"/>
      <c r="J95" s="158"/>
      <c r="K95" s="158"/>
      <c r="L95" s="158"/>
      <c r="M95" s="158"/>
      <c r="N95" s="158"/>
      <c r="O95" s="158"/>
      <c r="P95" s="158"/>
      <c r="Q95" s="158"/>
      <c r="R95" s="158"/>
      <c r="S95" s="158"/>
      <c r="T95" s="158"/>
      <c r="U95" s="158"/>
      <c r="V95" s="159"/>
    </row>
    <row r="96" spans="1:22" ht="24" x14ac:dyDescent="0.3">
      <c r="A96" s="117" t="s">
        <v>521</v>
      </c>
      <c r="B96" s="116" t="s">
        <v>417</v>
      </c>
      <c r="C96" s="157"/>
      <c r="D96" s="158"/>
      <c r="E96" s="158"/>
      <c r="F96" s="158"/>
      <c r="G96" s="158"/>
      <c r="H96" s="158"/>
      <c r="I96" s="158"/>
      <c r="J96" s="158"/>
      <c r="K96" s="158"/>
      <c r="L96" s="158"/>
      <c r="M96" s="158"/>
      <c r="N96" s="158"/>
      <c r="O96" s="158"/>
      <c r="P96" s="158"/>
      <c r="Q96" s="158"/>
      <c r="R96" s="158"/>
      <c r="S96" s="158"/>
      <c r="T96" s="158"/>
      <c r="U96" s="158"/>
      <c r="V96" s="159"/>
    </row>
    <row r="97" spans="1:22" ht="26.4" x14ac:dyDescent="0.3">
      <c r="A97" s="125" t="s">
        <v>522</v>
      </c>
      <c r="B97" s="129" t="s">
        <v>325</v>
      </c>
      <c r="C97" s="129" t="s">
        <v>641</v>
      </c>
      <c r="D97" s="133" t="s">
        <v>278</v>
      </c>
      <c r="E97" s="13"/>
      <c r="F97" s="126"/>
      <c r="G97" s="126"/>
      <c r="H97" s="126"/>
      <c r="I97" s="21" t="s">
        <v>160</v>
      </c>
      <c r="J97" s="84" t="s">
        <v>710</v>
      </c>
      <c r="K97" s="130"/>
      <c r="L97" s="130"/>
      <c r="M97" s="130"/>
      <c r="N97" s="130"/>
      <c r="O97" s="130"/>
      <c r="P97" s="130"/>
      <c r="Q97" s="130" t="s">
        <v>699</v>
      </c>
      <c r="R97" s="130"/>
      <c r="S97" s="130"/>
      <c r="T97" s="130"/>
      <c r="U97" s="130"/>
      <c r="V97" s="132" t="s">
        <v>86</v>
      </c>
    </row>
    <row r="98" spans="1:22" ht="25.2" x14ac:dyDescent="0.3">
      <c r="A98" s="117" t="s">
        <v>523</v>
      </c>
      <c r="B98" s="116" t="s">
        <v>418</v>
      </c>
      <c r="C98" s="157"/>
      <c r="D98" s="158"/>
      <c r="E98" s="158"/>
      <c r="F98" s="158"/>
      <c r="G98" s="158"/>
      <c r="H98" s="158"/>
      <c r="I98" s="158"/>
      <c r="J98" s="158"/>
      <c r="K98" s="158"/>
      <c r="L98" s="158"/>
      <c r="M98" s="158"/>
      <c r="N98" s="158"/>
      <c r="O98" s="158"/>
      <c r="P98" s="158"/>
      <c r="Q98" s="158"/>
      <c r="R98" s="158"/>
      <c r="S98" s="158"/>
      <c r="T98" s="158"/>
      <c r="U98" s="158"/>
      <c r="V98" s="159"/>
    </row>
    <row r="99" spans="1:22" ht="26.4" x14ac:dyDescent="0.3">
      <c r="A99" s="125" t="s">
        <v>614</v>
      </c>
      <c r="B99" s="129" t="s">
        <v>326</v>
      </c>
      <c r="C99" s="129" t="s">
        <v>642</v>
      </c>
      <c r="D99" s="133" t="s">
        <v>278</v>
      </c>
      <c r="E99" s="13"/>
      <c r="F99" s="126"/>
      <c r="G99" s="126"/>
      <c r="H99" s="126"/>
      <c r="I99" s="21" t="s">
        <v>160</v>
      </c>
      <c r="J99" s="84" t="s">
        <v>710</v>
      </c>
      <c r="K99" s="130"/>
      <c r="L99" s="130"/>
      <c r="M99" s="130"/>
      <c r="N99" s="130"/>
      <c r="O99" s="130"/>
      <c r="P99" s="130"/>
      <c r="Q99" s="130" t="s">
        <v>699</v>
      </c>
      <c r="R99" s="130"/>
      <c r="S99" s="130"/>
      <c r="T99" s="130"/>
      <c r="U99" s="130"/>
      <c r="V99" s="132" t="s">
        <v>86</v>
      </c>
    </row>
    <row r="100" spans="1:22" ht="25.2" x14ac:dyDescent="0.3">
      <c r="A100" s="117" t="s">
        <v>681</v>
      </c>
      <c r="B100" s="116" t="s">
        <v>419</v>
      </c>
      <c r="C100" s="157"/>
      <c r="D100" s="158"/>
      <c r="E100" s="158"/>
      <c r="F100" s="158"/>
      <c r="G100" s="158"/>
      <c r="H100" s="158"/>
      <c r="I100" s="158"/>
      <c r="J100" s="158"/>
      <c r="K100" s="158"/>
      <c r="L100" s="158"/>
      <c r="M100" s="158"/>
      <c r="N100" s="158"/>
      <c r="O100" s="158"/>
      <c r="P100" s="158"/>
      <c r="Q100" s="158"/>
      <c r="R100" s="158"/>
      <c r="S100" s="158"/>
      <c r="T100" s="158"/>
      <c r="U100" s="158"/>
      <c r="V100" s="159"/>
    </row>
    <row r="101" spans="1:22" ht="26.4" x14ac:dyDescent="0.3">
      <c r="A101" s="125" t="s">
        <v>682</v>
      </c>
      <c r="B101" s="129" t="s">
        <v>327</v>
      </c>
      <c r="C101" s="129" t="s">
        <v>643</v>
      </c>
      <c r="D101" s="133" t="s">
        <v>278</v>
      </c>
      <c r="E101" s="13"/>
      <c r="F101" s="126"/>
      <c r="G101" s="126"/>
      <c r="H101" s="126"/>
      <c r="I101" s="21" t="s">
        <v>160</v>
      </c>
      <c r="J101" s="84" t="s">
        <v>710</v>
      </c>
      <c r="K101" s="130"/>
      <c r="L101" s="130"/>
      <c r="M101" s="130"/>
      <c r="N101" s="130"/>
      <c r="O101" s="130"/>
      <c r="P101" s="130"/>
      <c r="Q101" s="130" t="s">
        <v>699</v>
      </c>
      <c r="R101" s="130"/>
      <c r="S101" s="130"/>
      <c r="T101" s="130"/>
      <c r="U101" s="130"/>
      <c r="V101" s="132" t="s">
        <v>86</v>
      </c>
    </row>
    <row r="102" spans="1:22" ht="25.2" x14ac:dyDescent="0.3">
      <c r="A102" s="117" t="s">
        <v>613</v>
      </c>
      <c r="B102" s="116" t="s">
        <v>420</v>
      </c>
      <c r="C102" s="157"/>
      <c r="D102" s="158"/>
      <c r="E102" s="158"/>
      <c r="F102" s="158"/>
      <c r="G102" s="158"/>
      <c r="H102" s="158"/>
      <c r="I102" s="158"/>
      <c r="J102" s="158"/>
      <c r="K102" s="158"/>
      <c r="L102" s="158"/>
      <c r="M102" s="158"/>
      <c r="N102" s="158"/>
      <c r="O102" s="158"/>
      <c r="P102" s="158"/>
      <c r="Q102" s="158"/>
      <c r="R102" s="158"/>
      <c r="S102" s="158"/>
      <c r="T102" s="158"/>
      <c r="U102" s="158"/>
      <c r="V102" s="159"/>
    </row>
    <row r="103" spans="1:22" ht="26.4" x14ac:dyDescent="0.3">
      <c r="A103" s="125" t="s">
        <v>612</v>
      </c>
      <c r="B103" s="129" t="s">
        <v>328</v>
      </c>
      <c r="C103" s="129" t="s">
        <v>641</v>
      </c>
      <c r="D103" s="133" t="s">
        <v>278</v>
      </c>
      <c r="E103" s="13"/>
      <c r="F103" s="126"/>
      <c r="G103" s="126"/>
      <c r="H103" s="126"/>
      <c r="I103" s="21" t="s">
        <v>160</v>
      </c>
      <c r="J103" s="84" t="s">
        <v>710</v>
      </c>
      <c r="K103" s="130"/>
      <c r="L103" s="130"/>
      <c r="M103" s="130"/>
      <c r="N103" s="130"/>
      <c r="O103" s="130"/>
      <c r="P103" s="130"/>
      <c r="Q103" s="130" t="s">
        <v>699</v>
      </c>
      <c r="R103" s="130"/>
      <c r="S103" s="130"/>
      <c r="T103" s="130"/>
      <c r="U103" s="130"/>
      <c r="V103" s="132" t="s">
        <v>86</v>
      </c>
    </row>
    <row r="104" spans="1:22" ht="25.2" x14ac:dyDescent="0.3">
      <c r="A104" s="117" t="s">
        <v>683</v>
      </c>
      <c r="B104" s="116" t="s">
        <v>421</v>
      </c>
      <c r="C104" s="157"/>
      <c r="D104" s="158"/>
      <c r="E104" s="158"/>
      <c r="F104" s="158"/>
      <c r="G104" s="158"/>
      <c r="H104" s="158"/>
      <c r="I104" s="158"/>
      <c r="J104" s="158"/>
      <c r="K104" s="158"/>
      <c r="L104" s="158"/>
      <c r="M104" s="158"/>
      <c r="N104" s="158"/>
      <c r="O104" s="158"/>
      <c r="P104" s="158"/>
      <c r="Q104" s="158"/>
      <c r="R104" s="158"/>
      <c r="S104" s="158"/>
      <c r="T104" s="158"/>
      <c r="U104" s="158"/>
      <c r="V104" s="159"/>
    </row>
    <row r="105" spans="1:22" ht="39.6" x14ac:dyDescent="0.3">
      <c r="A105" s="125" t="s">
        <v>684</v>
      </c>
      <c r="B105" s="129" t="s">
        <v>329</v>
      </c>
      <c r="C105" s="129" t="s">
        <v>641</v>
      </c>
      <c r="D105" s="133" t="s">
        <v>278</v>
      </c>
      <c r="E105" s="13"/>
      <c r="F105" s="126"/>
      <c r="G105" s="126"/>
      <c r="H105" s="126"/>
      <c r="I105" s="21" t="s">
        <v>160</v>
      </c>
      <c r="J105" s="84" t="s">
        <v>710</v>
      </c>
      <c r="K105" s="130"/>
      <c r="L105" s="130"/>
      <c r="M105" s="130"/>
      <c r="N105" s="130"/>
      <c r="O105" s="130"/>
      <c r="P105" s="130"/>
      <c r="Q105" s="130" t="s">
        <v>699</v>
      </c>
      <c r="R105" s="130"/>
      <c r="S105" s="130"/>
      <c r="T105" s="130"/>
      <c r="U105" s="130"/>
      <c r="V105" s="132" t="s">
        <v>86</v>
      </c>
    </row>
    <row r="106" spans="1:22" ht="25.2" x14ac:dyDescent="0.3">
      <c r="A106" s="117" t="s">
        <v>610</v>
      </c>
      <c r="B106" s="116" t="s">
        <v>422</v>
      </c>
      <c r="C106" s="157"/>
      <c r="D106" s="158"/>
      <c r="E106" s="158"/>
      <c r="F106" s="158"/>
      <c r="G106" s="158"/>
      <c r="H106" s="158"/>
      <c r="I106" s="158"/>
      <c r="J106" s="158"/>
      <c r="K106" s="158"/>
      <c r="L106" s="158"/>
      <c r="M106" s="158"/>
      <c r="N106" s="158"/>
      <c r="O106" s="158"/>
      <c r="P106" s="158"/>
      <c r="Q106" s="158"/>
      <c r="R106" s="158"/>
      <c r="S106" s="158"/>
      <c r="T106" s="158"/>
      <c r="U106" s="158"/>
      <c r="V106" s="159"/>
    </row>
    <row r="107" spans="1:22" ht="26.4" x14ac:dyDescent="0.3">
      <c r="A107" s="125" t="s">
        <v>611</v>
      </c>
      <c r="B107" s="129" t="s">
        <v>330</v>
      </c>
      <c r="C107" s="129" t="s">
        <v>641</v>
      </c>
      <c r="D107" s="133" t="s">
        <v>278</v>
      </c>
      <c r="E107" s="13"/>
      <c r="F107" s="126"/>
      <c r="G107" s="126"/>
      <c r="H107" s="126"/>
      <c r="I107" s="21" t="s">
        <v>160</v>
      </c>
      <c r="J107" s="84" t="s">
        <v>710</v>
      </c>
      <c r="K107" s="130"/>
      <c r="L107" s="130"/>
      <c r="M107" s="130"/>
      <c r="N107" s="130"/>
      <c r="O107" s="130"/>
      <c r="P107" s="130"/>
      <c r="Q107" s="130" t="s">
        <v>699</v>
      </c>
      <c r="R107" s="130"/>
      <c r="S107" s="130"/>
      <c r="T107" s="130"/>
      <c r="U107" s="130"/>
      <c r="V107" s="132" t="s">
        <v>86</v>
      </c>
    </row>
    <row r="108" spans="1:22" ht="25.2" x14ac:dyDescent="0.3">
      <c r="A108" s="117" t="s">
        <v>685</v>
      </c>
      <c r="B108" s="116" t="s">
        <v>423</v>
      </c>
      <c r="C108" s="157"/>
      <c r="D108" s="158"/>
      <c r="E108" s="158"/>
      <c r="F108" s="158"/>
      <c r="G108" s="158"/>
      <c r="H108" s="158"/>
      <c r="I108" s="158"/>
      <c r="J108" s="158"/>
      <c r="K108" s="158"/>
      <c r="L108" s="158"/>
      <c r="M108" s="158"/>
      <c r="N108" s="158"/>
      <c r="O108" s="158"/>
      <c r="P108" s="158"/>
      <c r="Q108" s="158"/>
      <c r="R108" s="158"/>
      <c r="S108" s="158"/>
      <c r="T108" s="158"/>
      <c r="U108" s="158"/>
      <c r="V108" s="159"/>
    </row>
    <row r="109" spans="1:22" ht="26.4" x14ac:dyDescent="0.3">
      <c r="A109" s="125" t="s">
        <v>686</v>
      </c>
      <c r="B109" s="129" t="s">
        <v>331</v>
      </c>
      <c r="C109" s="129" t="s">
        <v>644</v>
      </c>
      <c r="D109" s="133" t="s">
        <v>278</v>
      </c>
      <c r="E109" s="13"/>
      <c r="F109" s="126"/>
      <c r="G109" s="126"/>
      <c r="H109" s="126"/>
      <c r="I109" s="21" t="s">
        <v>160</v>
      </c>
      <c r="J109" s="84" t="s">
        <v>710</v>
      </c>
      <c r="K109" s="130" t="s">
        <v>699</v>
      </c>
      <c r="L109" s="130" t="s">
        <v>699</v>
      </c>
      <c r="M109" s="130" t="s">
        <v>699</v>
      </c>
      <c r="N109" s="130" t="s">
        <v>699</v>
      </c>
      <c r="O109" s="130" t="s">
        <v>699</v>
      </c>
      <c r="P109" s="130" t="s">
        <v>699</v>
      </c>
      <c r="Q109" s="130" t="s">
        <v>699</v>
      </c>
      <c r="R109" s="130" t="s">
        <v>699</v>
      </c>
      <c r="S109" s="130"/>
      <c r="T109" s="130" t="s">
        <v>699</v>
      </c>
      <c r="U109" s="130" t="s">
        <v>699</v>
      </c>
      <c r="V109" s="132" t="s">
        <v>86</v>
      </c>
    </row>
    <row r="110" spans="1:22" ht="25.2" x14ac:dyDescent="0.3">
      <c r="A110" s="117" t="s">
        <v>687</v>
      </c>
      <c r="B110" s="116" t="s">
        <v>424</v>
      </c>
      <c r="C110" s="157"/>
      <c r="D110" s="158"/>
      <c r="E110" s="158"/>
      <c r="F110" s="158"/>
      <c r="G110" s="158"/>
      <c r="H110" s="158"/>
      <c r="I110" s="158"/>
      <c r="J110" s="158"/>
      <c r="K110" s="158"/>
      <c r="L110" s="158"/>
      <c r="M110" s="158"/>
      <c r="N110" s="158"/>
      <c r="O110" s="158"/>
      <c r="P110" s="158"/>
      <c r="Q110" s="158"/>
      <c r="R110" s="158"/>
      <c r="S110" s="158"/>
      <c r="T110" s="158"/>
      <c r="U110" s="158"/>
      <c r="V110" s="159"/>
    </row>
    <row r="111" spans="1:22" ht="26.4" x14ac:dyDescent="0.3">
      <c r="A111" s="125" t="s">
        <v>688</v>
      </c>
      <c r="B111" s="129" t="s">
        <v>332</v>
      </c>
      <c r="C111" s="129" t="s">
        <v>643</v>
      </c>
      <c r="D111" s="133" t="s">
        <v>278</v>
      </c>
      <c r="E111" s="13"/>
      <c r="F111" s="126"/>
      <c r="G111" s="126"/>
      <c r="H111" s="126"/>
      <c r="I111" s="21" t="s">
        <v>160</v>
      </c>
      <c r="J111" s="84" t="s">
        <v>710</v>
      </c>
      <c r="K111" s="130"/>
      <c r="L111" s="130"/>
      <c r="M111" s="130"/>
      <c r="N111" s="130" t="s">
        <v>699</v>
      </c>
      <c r="O111" s="130"/>
      <c r="P111" s="130"/>
      <c r="Q111" s="130" t="s">
        <v>699</v>
      </c>
      <c r="R111" s="130" t="s">
        <v>699</v>
      </c>
      <c r="S111" s="130"/>
      <c r="T111" s="130"/>
      <c r="U111" s="130"/>
      <c r="V111" s="132" t="s">
        <v>86</v>
      </c>
    </row>
    <row r="112" spans="1:22" ht="25.2" x14ac:dyDescent="0.3">
      <c r="A112" s="117" t="s">
        <v>689</v>
      </c>
      <c r="B112" s="116" t="s">
        <v>425</v>
      </c>
      <c r="C112" s="157"/>
      <c r="D112" s="158"/>
      <c r="E112" s="158"/>
      <c r="F112" s="158"/>
      <c r="G112" s="158"/>
      <c r="H112" s="158"/>
      <c r="I112" s="158"/>
      <c r="J112" s="158"/>
      <c r="K112" s="158"/>
      <c r="L112" s="158"/>
      <c r="M112" s="158"/>
      <c r="N112" s="158"/>
      <c r="O112" s="158"/>
      <c r="P112" s="158"/>
      <c r="Q112" s="158"/>
      <c r="R112" s="158"/>
      <c r="S112" s="158"/>
      <c r="T112" s="158"/>
      <c r="U112" s="158"/>
      <c r="V112" s="159"/>
    </row>
    <row r="113" spans="1:22" ht="26.4" x14ac:dyDescent="0.3">
      <c r="A113" s="125" t="s">
        <v>690</v>
      </c>
      <c r="B113" s="129" t="s">
        <v>333</v>
      </c>
      <c r="C113" s="129" t="s">
        <v>643</v>
      </c>
      <c r="D113" s="133" t="s">
        <v>278</v>
      </c>
      <c r="E113" s="13"/>
      <c r="F113" s="126"/>
      <c r="G113" s="126"/>
      <c r="H113" s="126"/>
      <c r="I113" s="21" t="s">
        <v>160</v>
      </c>
      <c r="J113" s="84" t="s">
        <v>710</v>
      </c>
      <c r="K113" s="130"/>
      <c r="L113" s="130"/>
      <c r="M113" s="130"/>
      <c r="N113" s="130" t="s">
        <v>699</v>
      </c>
      <c r="O113" s="130"/>
      <c r="P113" s="130"/>
      <c r="Q113" s="130" t="s">
        <v>699</v>
      </c>
      <c r="R113" s="130" t="s">
        <v>699</v>
      </c>
      <c r="S113" s="130"/>
      <c r="T113" s="130"/>
      <c r="U113" s="130"/>
      <c r="V113" s="132" t="s">
        <v>86</v>
      </c>
    </row>
    <row r="114" spans="1:22" ht="27.6" x14ac:dyDescent="0.3">
      <c r="A114" s="117" t="s">
        <v>691</v>
      </c>
      <c r="B114" s="116" t="s">
        <v>700</v>
      </c>
      <c r="C114" s="157"/>
      <c r="D114" s="158"/>
      <c r="E114" s="158"/>
      <c r="F114" s="158"/>
      <c r="G114" s="158"/>
      <c r="H114" s="158"/>
      <c r="I114" s="158"/>
      <c r="J114" s="158"/>
      <c r="K114" s="158"/>
      <c r="L114" s="158"/>
      <c r="M114" s="158"/>
      <c r="N114" s="158"/>
      <c r="O114" s="158"/>
      <c r="P114" s="158"/>
      <c r="Q114" s="158"/>
      <c r="R114" s="158"/>
      <c r="S114" s="158"/>
      <c r="T114" s="158"/>
      <c r="U114" s="158"/>
      <c r="V114" s="159"/>
    </row>
    <row r="115" spans="1:22" ht="39.6" x14ac:dyDescent="0.3">
      <c r="A115" s="125" t="s">
        <v>609</v>
      </c>
      <c r="B115" s="129" t="s">
        <v>334</v>
      </c>
      <c r="C115" s="129" t="s">
        <v>643</v>
      </c>
      <c r="D115" s="133" t="s">
        <v>278</v>
      </c>
      <c r="E115" s="13"/>
      <c r="F115" s="126"/>
      <c r="G115" s="126"/>
      <c r="H115" s="126"/>
      <c r="I115" s="21" t="s">
        <v>160</v>
      </c>
      <c r="J115" s="84" t="s">
        <v>710</v>
      </c>
      <c r="K115" s="130"/>
      <c r="L115" s="130"/>
      <c r="M115" s="130"/>
      <c r="N115" s="130" t="s">
        <v>699</v>
      </c>
      <c r="O115" s="130"/>
      <c r="P115" s="130"/>
      <c r="Q115" s="130" t="s">
        <v>699</v>
      </c>
      <c r="R115" s="130" t="s">
        <v>699</v>
      </c>
      <c r="S115" s="130"/>
      <c r="T115" s="130"/>
      <c r="U115" s="130"/>
      <c r="V115" s="132" t="s">
        <v>86</v>
      </c>
    </row>
    <row r="116" spans="1:22" ht="26.4" x14ac:dyDescent="0.3">
      <c r="A116" s="117" t="s">
        <v>692</v>
      </c>
      <c r="B116" s="116" t="s">
        <v>426</v>
      </c>
      <c r="C116" s="157"/>
      <c r="D116" s="158"/>
      <c r="E116" s="158"/>
      <c r="F116" s="158"/>
      <c r="G116" s="158"/>
      <c r="H116" s="158"/>
      <c r="I116" s="158"/>
      <c r="J116" s="158"/>
      <c r="K116" s="158"/>
      <c r="L116" s="158"/>
      <c r="M116" s="158"/>
      <c r="N116" s="158"/>
      <c r="O116" s="158"/>
      <c r="P116" s="158"/>
      <c r="Q116" s="158"/>
      <c r="R116" s="158"/>
      <c r="S116" s="158"/>
      <c r="T116" s="158"/>
      <c r="U116" s="158"/>
      <c r="V116" s="159"/>
    </row>
    <row r="117" spans="1:22" ht="27.6" x14ac:dyDescent="0.3">
      <c r="A117" s="125" t="s">
        <v>693</v>
      </c>
      <c r="B117" s="129" t="s">
        <v>335</v>
      </c>
      <c r="C117" s="129" t="s">
        <v>641</v>
      </c>
      <c r="D117" s="133" t="s">
        <v>278</v>
      </c>
      <c r="E117" s="13"/>
      <c r="F117" s="126"/>
      <c r="G117" s="126"/>
      <c r="H117" s="126"/>
      <c r="I117" s="21" t="s">
        <v>160</v>
      </c>
      <c r="J117" s="84" t="s">
        <v>710</v>
      </c>
      <c r="K117" s="130"/>
      <c r="L117" s="130"/>
      <c r="M117" s="130"/>
      <c r="N117" s="130" t="s">
        <v>699</v>
      </c>
      <c r="O117" s="130"/>
      <c r="P117" s="130"/>
      <c r="Q117" s="130" t="s">
        <v>699</v>
      </c>
      <c r="R117" s="130" t="s">
        <v>699</v>
      </c>
      <c r="S117" s="130"/>
      <c r="T117" s="130"/>
      <c r="U117" s="130"/>
      <c r="V117" s="132" t="s">
        <v>86</v>
      </c>
    </row>
    <row r="118" spans="1:22" ht="27.6" x14ac:dyDescent="0.3">
      <c r="A118" s="117" t="s">
        <v>694</v>
      </c>
      <c r="B118" s="116" t="s">
        <v>427</v>
      </c>
      <c r="C118" s="157"/>
      <c r="D118" s="158"/>
      <c r="E118" s="158"/>
      <c r="F118" s="158"/>
      <c r="G118" s="158"/>
      <c r="H118" s="158"/>
      <c r="I118" s="158"/>
      <c r="J118" s="158"/>
      <c r="K118" s="158"/>
      <c r="L118" s="158"/>
      <c r="M118" s="158"/>
      <c r="N118" s="158"/>
      <c r="O118" s="158"/>
      <c r="P118" s="158"/>
      <c r="Q118" s="158"/>
      <c r="R118" s="158"/>
      <c r="S118" s="158"/>
      <c r="T118" s="158"/>
      <c r="U118" s="158"/>
      <c r="V118" s="159"/>
    </row>
    <row r="119" spans="1:22" ht="28.8" x14ac:dyDescent="0.3">
      <c r="A119" s="125" t="s">
        <v>695</v>
      </c>
      <c r="B119" s="129" t="s">
        <v>336</v>
      </c>
      <c r="C119" s="129" t="s">
        <v>641</v>
      </c>
      <c r="D119" s="133" t="s">
        <v>278</v>
      </c>
      <c r="E119" s="13"/>
      <c r="F119" s="126"/>
      <c r="G119" s="126"/>
      <c r="H119" s="126"/>
      <c r="I119" s="21" t="s">
        <v>160</v>
      </c>
      <c r="J119" s="84" t="s">
        <v>710</v>
      </c>
      <c r="K119" s="130"/>
      <c r="L119" s="130"/>
      <c r="M119" s="130"/>
      <c r="N119" s="130" t="s">
        <v>699</v>
      </c>
      <c r="O119" s="130"/>
      <c r="P119" s="130"/>
      <c r="Q119" s="130" t="s">
        <v>699</v>
      </c>
      <c r="R119" s="130" t="s">
        <v>699</v>
      </c>
      <c r="S119" s="130"/>
      <c r="T119" s="130"/>
      <c r="U119" s="130"/>
      <c r="V119" s="132" t="s">
        <v>86</v>
      </c>
    </row>
    <row r="120" spans="1:22" ht="27.6" x14ac:dyDescent="0.3">
      <c r="A120" s="117" t="s">
        <v>607</v>
      </c>
      <c r="B120" s="116" t="s">
        <v>428</v>
      </c>
      <c r="C120" s="157"/>
      <c r="D120" s="158"/>
      <c r="E120" s="158"/>
      <c r="F120" s="158"/>
      <c r="G120" s="158"/>
      <c r="H120" s="158"/>
      <c r="I120" s="158"/>
      <c r="J120" s="158"/>
      <c r="K120" s="158"/>
      <c r="L120" s="158"/>
      <c r="M120" s="158"/>
      <c r="N120" s="158"/>
      <c r="O120" s="158"/>
      <c r="P120" s="158"/>
      <c r="Q120" s="158"/>
      <c r="R120" s="158"/>
      <c r="S120" s="158"/>
      <c r="T120" s="158"/>
      <c r="U120" s="158"/>
      <c r="V120" s="159"/>
    </row>
    <row r="121" spans="1:22" ht="28.8" x14ac:dyDescent="0.3">
      <c r="A121" s="125" t="s">
        <v>608</v>
      </c>
      <c r="B121" s="129" t="s">
        <v>337</v>
      </c>
      <c r="C121" s="129" t="s">
        <v>643</v>
      </c>
      <c r="D121" s="13" t="s">
        <v>278</v>
      </c>
      <c r="E121" s="13"/>
      <c r="F121" s="126"/>
      <c r="G121" s="126"/>
      <c r="H121" s="126"/>
      <c r="I121" s="21" t="s">
        <v>160</v>
      </c>
      <c r="J121" s="84" t="s">
        <v>710</v>
      </c>
      <c r="K121" s="130"/>
      <c r="L121" s="130"/>
      <c r="M121" s="130"/>
      <c r="N121" s="130" t="s">
        <v>699</v>
      </c>
      <c r="O121" s="130"/>
      <c r="P121" s="130"/>
      <c r="Q121" s="130" t="s">
        <v>699</v>
      </c>
      <c r="R121" s="130"/>
      <c r="S121" s="130"/>
      <c r="T121" s="130"/>
      <c r="U121" s="130"/>
      <c r="V121" s="132" t="s">
        <v>86</v>
      </c>
    </row>
    <row r="122" spans="1:22" ht="27.6" x14ac:dyDescent="0.3">
      <c r="A122" s="117" t="s">
        <v>605</v>
      </c>
      <c r="B122" s="116" t="s">
        <v>429</v>
      </c>
      <c r="C122" s="157"/>
      <c r="D122" s="158"/>
      <c r="E122" s="158"/>
      <c r="F122" s="158"/>
      <c r="G122" s="158"/>
      <c r="H122" s="158"/>
      <c r="I122" s="158"/>
      <c r="J122" s="158"/>
      <c r="K122" s="158"/>
      <c r="L122" s="158"/>
      <c r="M122" s="158"/>
      <c r="N122" s="158"/>
      <c r="O122" s="158"/>
      <c r="P122" s="158"/>
      <c r="Q122" s="158"/>
      <c r="R122" s="158"/>
      <c r="S122" s="158"/>
      <c r="T122" s="158"/>
      <c r="U122" s="158"/>
      <c r="V122" s="159"/>
    </row>
    <row r="123" spans="1:22" ht="39.6" x14ac:dyDescent="0.3">
      <c r="A123" s="125" t="s">
        <v>606</v>
      </c>
      <c r="B123" s="129" t="s">
        <v>338</v>
      </c>
      <c r="C123" s="129" t="s">
        <v>643</v>
      </c>
      <c r="D123" s="13" t="s">
        <v>278</v>
      </c>
      <c r="E123" s="13"/>
      <c r="F123" s="126"/>
      <c r="G123" s="126"/>
      <c r="H123" s="126"/>
      <c r="I123" s="21" t="s">
        <v>160</v>
      </c>
      <c r="J123" s="84" t="s">
        <v>710</v>
      </c>
      <c r="K123" s="130"/>
      <c r="L123" s="130"/>
      <c r="M123" s="130"/>
      <c r="N123" s="130"/>
      <c r="O123" s="130"/>
      <c r="P123" s="130"/>
      <c r="Q123" s="130"/>
      <c r="R123" s="130"/>
      <c r="S123" s="130"/>
      <c r="T123" s="130"/>
      <c r="U123" s="130"/>
      <c r="V123" s="132" t="s">
        <v>86</v>
      </c>
    </row>
    <row r="124" spans="1:22" ht="21" x14ac:dyDescent="0.3">
      <c r="A124" s="117" t="s">
        <v>524</v>
      </c>
      <c r="B124" s="112" t="s">
        <v>468</v>
      </c>
      <c r="C124" s="157"/>
      <c r="D124" s="158"/>
      <c r="E124" s="158"/>
      <c r="F124" s="158"/>
      <c r="G124" s="158"/>
      <c r="H124" s="158"/>
      <c r="I124" s="158"/>
      <c r="J124" s="158"/>
      <c r="K124" s="158"/>
      <c r="L124" s="158"/>
      <c r="M124" s="158"/>
      <c r="N124" s="158"/>
      <c r="O124" s="158"/>
      <c r="P124" s="158"/>
      <c r="Q124" s="158"/>
      <c r="R124" s="158"/>
      <c r="S124" s="158"/>
      <c r="T124" s="158"/>
      <c r="U124" s="158"/>
      <c r="V124" s="159"/>
    </row>
    <row r="125" spans="1:22" ht="24" x14ac:dyDescent="0.3">
      <c r="A125" s="117" t="s">
        <v>525</v>
      </c>
      <c r="B125" s="116" t="s">
        <v>430</v>
      </c>
      <c r="C125" s="157"/>
      <c r="D125" s="158"/>
      <c r="E125" s="158"/>
      <c r="F125" s="158"/>
      <c r="G125" s="158"/>
      <c r="H125" s="158"/>
      <c r="I125" s="158"/>
      <c r="J125" s="158"/>
      <c r="K125" s="158"/>
      <c r="L125" s="158"/>
      <c r="M125" s="158"/>
      <c r="N125" s="158"/>
      <c r="O125" s="158"/>
      <c r="P125" s="158"/>
      <c r="Q125" s="158"/>
      <c r="R125" s="158"/>
      <c r="S125" s="158"/>
      <c r="T125" s="158"/>
      <c r="U125" s="158"/>
      <c r="V125" s="159"/>
    </row>
    <row r="126" spans="1:22" ht="26.4" x14ac:dyDescent="0.3">
      <c r="A126" s="125" t="s">
        <v>526</v>
      </c>
      <c r="B126" s="129" t="s">
        <v>339</v>
      </c>
      <c r="C126" s="129" t="s">
        <v>624</v>
      </c>
      <c r="D126" s="13" t="s">
        <v>278</v>
      </c>
      <c r="E126" s="13"/>
      <c r="F126" s="126"/>
      <c r="G126" s="126"/>
      <c r="H126" s="126"/>
      <c r="I126" s="21" t="s">
        <v>160</v>
      </c>
      <c r="J126" s="84" t="s">
        <v>710</v>
      </c>
      <c r="K126" s="130"/>
      <c r="L126" s="130"/>
      <c r="M126" s="130"/>
      <c r="N126" s="130" t="s">
        <v>699</v>
      </c>
      <c r="O126" s="130"/>
      <c r="P126" s="130"/>
      <c r="Q126" s="130"/>
      <c r="R126" s="130"/>
      <c r="S126" s="130"/>
      <c r="T126" s="130"/>
      <c r="U126" s="130"/>
      <c r="V126" s="132" t="s">
        <v>86</v>
      </c>
    </row>
    <row r="127" spans="1:22" ht="25.2" x14ac:dyDescent="0.3">
      <c r="A127" s="117" t="s">
        <v>604</v>
      </c>
      <c r="B127" s="116" t="s">
        <v>431</v>
      </c>
      <c r="C127" s="157"/>
      <c r="D127" s="158"/>
      <c r="E127" s="158"/>
      <c r="F127" s="158"/>
      <c r="G127" s="158"/>
      <c r="H127" s="158"/>
      <c r="I127" s="158"/>
      <c r="J127" s="158"/>
      <c r="K127" s="158"/>
      <c r="L127" s="158"/>
      <c r="M127" s="158"/>
      <c r="N127" s="158"/>
      <c r="O127" s="158"/>
      <c r="P127" s="158"/>
      <c r="Q127" s="158"/>
      <c r="R127" s="158"/>
      <c r="S127" s="158"/>
      <c r="T127" s="158"/>
      <c r="U127" s="158"/>
      <c r="V127" s="159"/>
    </row>
    <row r="128" spans="1:22" ht="26.4" x14ac:dyDescent="0.3">
      <c r="A128" s="125" t="s">
        <v>591</v>
      </c>
      <c r="B128" s="129" t="s">
        <v>340</v>
      </c>
      <c r="C128" s="129" t="s">
        <v>626</v>
      </c>
      <c r="D128" s="13" t="s">
        <v>278</v>
      </c>
      <c r="E128" s="13"/>
      <c r="F128" s="126"/>
      <c r="G128" s="126"/>
      <c r="H128" s="126"/>
      <c r="I128" s="21" t="s">
        <v>160</v>
      </c>
      <c r="J128" s="84" t="s">
        <v>710</v>
      </c>
      <c r="K128" s="130"/>
      <c r="L128" s="130"/>
      <c r="M128" s="130"/>
      <c r="N128" s="130" t="s">
        <v>699</v>
      </c>
      <c r="O128" s="130"/>
      <c r="P128" s="130"/>
      <c r="Q128" s="130"/>
      <c r="R128" s="130"/>
      <c r="S128" s="130"/>
      <c r="T128" s="130"/>
      <c r="U128" s="130"/>
      <c r="V128" s="132" t="s">
        <v>86</v>
      </c>
    </row>
    <row r="129" spans="1:22" ht="25.2" x14ac:dyDescent="0.3">
      <c r="A129" s="117" t="s">
        <v>603</v>
      </c>
      <c r="B129" s="116" t="s">
        <v>432</v>
      </c>
      <c r="C129" s="157"/>
      <c r="D129" s="158"/>
      <c r="E129" s="158"/>
      <c r="F129" s="158"/>
      <c r="G129" s="158"/>
      <c r="H129" s="158"/>
      <c r="I129" s="158"/>
      <c r="J129" s="158"/>
      <c r="K129" s="158"/>
      <c r="L129" s="158"/>
      <c r="M129" s="158"/>
      <c r="N129" s="158"/>
      <c r="O129" s="158"/>
      <c r="P129" s="158"/>
      <c r="Q129" s="158"/>
      <c r="R129" s="158"/>
      <c r="S129" s="158"/>
      <c r="T129" s="158"/>
      <c r="U129" s="158"/>
      <c r="V129" s="159"/>
    </row>
    <row r="130" spans="1:22" ht="26.4" x14ac:dyDescent="0.3">
      <c r="A130" s="125" t="s">
        <v>602</v>
      </c>
      <c r="B130" s="129" t="s">
        <v>341</v>
      </c>
      <c r="C130" s="129" t="s">
        <v>626</v>
      </c>
      <c r="D130" s="13" t="s">
        <v>278</v>
      </c>
      <c r="E130" s="13"/>
      <c r="F130" s="126"/>
      <c r="G130" s="126"/>
      <c r="H130" s="126"/>
      <c r="I130" s="21" t="s">
        <v>160</v>
      </c>
      <c r="J130" s="84" t="s">
        <v>710</v>
      </c>
      <c r="K130" s="130"/>
      <c r="L130" s="130"/>
      <c r="M130" s="130"/>
      <c r="N130" s="130" t="s">
        <v>699</v>
      </c>
      <c r="O130" s="130"/>
      <c r="P130" s="130"/>
      <c r="Q130" s="130"/>
      <c r="R130" s="130"/>
      <c r="S130" s="130"/>
      <c r="T130" s="130"/>
      <c r="U130" s="130"/>
      <c r="V130" s="132" t="s">
        <v>86</v>
      </c>
    </row>
    <row r="131" spans="1:22" ht="25.2" x14ac:dyDescent="0.3">
      <c r="A131" s="117" t="s">
        <v>601</v>
      </c>
      <c r="B131" s="116" t="s">
        <v>433</v>
      </c>
      <c r="C131" s="157"/>
      <c r="D131" s="158"/>
      <c r="E131" s="158"/>
      <c r="F131" s="158"/>
      <c r="G131" s="158"/>
      <c r="H131" s="158"/>
      <c r="I131" s="158"/>
      <c r="J131" s="158"/>
      <c r="K131" s="158"/>
      <c r="L131" s="158"/>
      <c r="M131" s="158"/>
      <c r="N131" s="158"/>
      <c r="O131" s="158"/>
      <c r="P131" s="158"/>
      <c r="Q131" s="158"/>
      <c r="R131" s="158"/>
      <c r="S131" s="158"/>
      <c r="T131" s="158"/>
      <c r="U131" s="158"/>
      <c r="V131" s="159"/>
    </row>
    <row r="132" spans="1:22" ht="39.6" x14ac:dyDescent="0.3">
      <c r="A132" s="125" t="s">
        <v>600</v>
      </c>
      <c r="B132" s="129" t="s">
        <v>342</v>
      </c>
      <c r="C132" s="129" t="s">
        <v>645</v>
      </c>
      <c r="D132" s="13" t="s">
        <v>278</v>
      </c>
      <c r="E132" s="13"/>
      <c r="F132" s="126"/>
      <c r="G132" s="126"/>
      <c r="H132" s="126"/>
      <c r="I132" s="21" t="s">
        <v>160</v>
      </c>
      <c r="J132" s="84" t="s">
        <v>710</v>
      </c>
      <c r="K132" s="130"/>
      <c r="L132" s="130"/>
      <c r="M132" s="130"/>
      <c r="N132" s="130"/>
      <c r="O132" s="130" t="s">
        <v>699</v>
      </c>
      <c r="P132" s="130"/>
      <c r="Q132" s="130"/>
      <c r="R132" s="130"/>
      <c r="S132" s="130"/>
      <c r="T132" s="130"/>
      <c r="U132" s="130"/>
      <c r="V132" s="132" t="s">
        <v>86</v>
      </c>
    </row>
    <row r="133" spans="1:22" ht="25.2" x14ac:dyDescent="0.3">
      <c r="A133" s="117" t="s">
        <v>599</v>
      </c>
      <c r="B133" s="116" t="s">
        <v>434</v>
      </c>
      <c r="C133" s="157"/>
      <c r="D133" s="158"/>
      <c r="E133" s="158"/>
      <c r="F133" s="158"/>
      <c r="G133" s="158"/>
      <c r="H133" s="158"/>
      <c r="I133" s="158"/>
      <c r="J133" s="158"/>
      <c r="K133" s="158"/>
      <c r="L133" s="158"/>
      <c r="M133" s="158"/>
      <c r="N133" s="158"/>
      <c r="O133" s="158"/>
      <c r="P133" s="158"/>
      <c r="Q133" s="158"/>
      <c r="R133" s="158"/>
      <c r="S133" s="158"/>
      <c r="T133" s="158"/>
      <c r="U133" s="158"/>
      <c r="V133" s="159"/>
    </row>
    <row r="134" spans="1:22" ht="26.4" x14ac:dyDescent="0.3">
      <c r="A134" s="125" t="s">
        <v>598</v>
      </c>
      <c r="B134" s="129" t="s">
        <v>343</v>
      </c>
      <c r="C134" s="129" t="s">
        <v>626</v>
      </c>
      <c r="D134" s="13" t="s">
        <v>278</v>
      </c>
      <c r="E134" s="13"/>
      <c r="F134" s="126"/>
      <c r="G134" s="126"/>
      <c r="H134" s="126"/>
      <c r="I134" s="21" t="s">
        <v>160</v>
      </c>
      <c r="J134" s="84" t="s">
        <v>710</v>
      </c>
      <c r="K134" s="130"/>
      <c r="L134" s="130"/>
      <c r="M134" s="130"/>
      <c r="N134" s="130" t="s">
        <v>699</v>
      </c>
      <c r="O134" s="130" t="s">
        <v>699</v>
      </c>
      <c r="P134" s="130"/>
      <c r="Q134" s="130"/>
      <c r="R134" s="130"/>
      <c r="S134" s="130"/>
      <c r="T134" s="130"/>
      <c r="U134" s="130"/>
      <c r="V134" s="132" t="s">
        <v>86</v>
      </c>
    </row>
    <row r="135" spans="1:22" ht="25.2" x14ac:dyDescent="0.3">
      <c r="A135" s="117" t="s">
        <v>597</v>
      </c>
      <c r="B135" s="116" t="s">
        <v>435</v>
      </c>
      <c r="C135" s="157"/>
      <c r="D135" s="158"/>
      <c r="E135" s="158"/>
      <c r="F135" s="158"/>
      <c r="G135" s="158"/>
      <c r="H135" s="158"/>
      <c r="I135" s="158"/>
      <c r="J135" s="158"/>
      <c r="K135" s="158"/>
      <c r="L135" s="158"/>
      <c r="M135" s="158"/>
      <c r="N135" s="158"/>
      <c r="O135" s="158"/>
      <c r="P135" s="158"/>
      <c r="Q135" s="158"/>
      <c r="R135" s="158"/>
      <c r="S135" s="158"/>
      <c r="T135" s="158"/>
      <c r="U135" s="158"/>
      <c r="V135" s="159"/>
    </row>
    <row r="136" spans="1:22" ht="26.4" x14ac:dyDescent="0.3">
      <c r="A136" s="125" t="s">
        <v>596</v>
      </c>
      <c r="B136" s="129" t="s">
        <v>344</v>
      </c>
      <c r="C136" s="129" t="s">
        <v>630</v>
      </c>
      <c r="D136" s="13" t="s">
        <v>278</v>
      </c>
      <c r="E136" s="13"/>
      <c r="F136" s="126"/>
      <c r="G136" s="126"/>
      <c r="H136" s="126"/>
      <c r="I136" s="21" t="s">
        <v>160</v>
      </c>
      <c r="J136" s="84" t="s">
        <v>710</v>
      </c>
      <c r="K136" s="130"/>
      <c r="L136" s="130"/>
      <c r="M136" s="130"/>
      <c r="N136" s="130" t="s">
        <v>699</v>
      </c>
      <c r="O136" s="130" t="s">
        <v>699</v>
      </c>
      <c r="P136" s="130"/>
      <c r="Q136" s="130"/>
      <c r="R136" s="130"/>
      <c r="S136" s="130"/>
      <c r="T136" s="130"/>
      <c r="U136" s="130"/>
      <c r="V136" s="132" t="s">
        <v>86</v>
      </c>
    </row>
    <row r="137" spans="1:22" ht="25.2" x14ac:dyDescent="0.3">
      <c r="A137" s="117" t="s">
        <v>595</v>
      </c>
      <c r="B137" s="116" t="s">
        <v>436</v>
      </c>
      <c r="C137" s="157"/>
      <c r="D137" s="158"/>
      <c r="E137" s="158"/>
      <c r="F137" s="158"/>
      <c r="G137" s="158"/>
      <c r="H137" s="158"/>
      <c r="I137" s="158"/>
      <c r="J137" s="158"/>
      <c r="K137" s="158"/>
      <c r="L137" s="158"/>
      <c r="M137" s="158"/>
      <c r="N137" s="158"/>
      <c r="O137" s="158"/>
      <c r="P137" s="158"/>
      <c r="Q137" s="158"/>
      <c r="R137" s="158"/>
      <c r="S137" s="158"/>
      <c r="T137" s="158"/>
      <c r="U137" s="158"/>
      <c r="V137" s="159"/>
    </row>
    <row r="138" spans="1:22" ht="26.4" x14ac:dyDescent="0.3">
      <c r="A138" s="125" t="s">
        <v>594</v>
      </c>
      <c r="B138" s="129" t="s">
        <v>345</v>
      </c>
      <c r="C138" s="129" t="s">
        <v>646</v>
      </c>
      <c r="D138" s="13" t="s">
        <v>278</v>
      </c>
      <c r="E138" s="13"/>
      <c r="F138" s="126"/>
      <c r="G138" s="126"/>
      <c r="H138" s="126"/>
      <c r="I138" s="21" t="s">
        <v>160</v>
      </c>
      <c r="J138" s="84" t="s">
        <v>710</v>
      </c>
      <c r="K138" s="130"/>
      <c r="L138" s="130"/>
      <c r="M138" s="130"/>
      <c r="N138" s="130" t="s">
        <v>699</v>
      </c>
      <c r="O138" s="130" t="s">
        <v>699</v>
      </c>
      <c r="P138" s="130"/>
      <c r="Q138" s="130"/>
      <c r="R138" s="130"/>
      <c r="S138" s="130"/>
      <c r="T138" s="130"/>
      <c r="U138" s="130"/>
      <c r="V138" s="132" t="s">
        <v>86</v>
      </c>
    </row>
    <row r="139" spans="1:22" ht="25.2" x14ac:dyDescent="0.3">
      <c r="A139" s="117" t="s">
        <v>592</v>
      </c>
      <c r="B139" s="116" t="s">
        <v>437</v>
      </c>
      <c r="C139" s="157"/>
      <c r="D139" s="158"/>
      <c r="E139" s="158"/>
      <c r="F139" s="158"/>
      <c r="G139" s="158"/>
      <c r="H139" s="158"/>
      <c r="I139" s="158"/>
      <c r="J139" s="158"/>
      <c r="K139" s="158"/>
      <c r="L139" s="158"/>
      <c r="M139" s="158"/>
      <c r="N139" s="158"/>
      <c r="O139" s="158"/>
      <c r="P139" s="158"/>
      <c r="Q139" s="158"/>
      <c r="R139" s="158"/>
      <c r="S139" s="158"/>
      <c r="T139" s="158"/>
      <c r="U139" s="158"/>
      <c r="V139" s="159"/>
    </row>
    <row r="140" spans="1:22" ht="39.6" x14ac:dyDescent="0.3">
      <c r="A140" s="125" t="s">
        <v>593</v>
      </c>
      <c r="B140" s="129" t="s">
        <v>346</v>
      </c>
      <c r="C140" s="129" t="s">
        <v>622</v>
      </c>
      <c r="D140" s="13" t="s">
        <v>278</v>
      </c>
      <c r="E140" s="13"/>
      <c r="F140" s="126"/>
      <c r="G140" s="126"/>
      <c r="H140" s="126"/>
      <c r="I140" s="21" t="s">
        <v>160</v>
      </c>
      <c r="J140" s="84" t="s">
        <v>710</v>
      </c>
      <c r="K140" s="130"/>
      <c r="L140" s="130"/>
      <c r="M140" s="130"/>
      <c r="N140" s="130" t="s">
        <v>699</v>
      </c>
      <c r="O140" s="130" t="s">
        <v>699</v>
      </c>
      <c r="P140" s="130"/>
      <c r="Q140" s="130"/>
      <c r="R140" s="130"/>
      <c r="S140" s="130"/>
      <c r="T140" s="130"/>
      <c r="U140" s="130"/>
      <c r="V140" s="132" t="s">
        <v>86</v>
      </c>
    </row>
    <row r="141" spans="1:22" ht="25.2" x14ac:dyDescent="0.3">
      <c r="A141" s="117" t="s">
        <v>590</v>
      </c>
      <c r="B141" s="116" t="s">
        <v>438</v>
      </c>
      <c r="C141" s="157"/>
      <c r="D141" s="158"/>
      <c r="E141" s="158"/>
      <c r="F141" s="158"/>
      <c r="G141" s="158"/>
      <c r="H141" s="158"/>
      <c r="I141" s="158"/>
      <c r="J141" s="158"/>
      <c r="K141" s="158"/>
      <c r="L141" s="158"/>
      <c r="M141" s="158"/>
      <c r="N141" s="158"/>
      <c r="O141" s="158"/>
      <c r="P141" s="158"/>
      <c r="Q141" s="158"/>
      <c r="R141" s="158"/>
      <c r="S141" s="158"/>
      <c r="T141" s="158"/>
      <c r="U141" s="158"/>
      <c r="V141" s="159"/>
    </row>
    <row r="142" spans="1:22" ht="39.6" x14ac:dyDescent="0.3">
      <c r="A142" s="125" t="s">
        <v>530</v>
      </c>
      <c r="B142" s="129" t="s">
        <v>347</v>
      </c>
      <c r="C142" s="129" t="s">
        <v>650</v>
      </c>
      <c r="D142" s="13" t="s">
        <v>278</v>
      </c>
      <c r="E142" s="13"/>
      <c r="F142" s="126"/>
      <c r="G142" s="126"/>
      <c r="H142" s="126"/>
      <c r="I142" s="21" t="s">
        <v>160</v>
      </c>
      <c r="J142" s="84" t="s">
        <v>710</v>
      </c>
      <c r="K142" s="130"/>
      <c r="L142" s="130"/>
      <c r="M142" s="130"/>
      <c r="N142" s="130" t="s">
        <v>699</v>
      </c>
      <c r="O142" s="130" t="s">
        <v>699</v>
      </c>
      <c r="P142" s="130"/>
      <c r="Q142" s="130"/>
      <c r="R142" s="130"/>
      <c r="S142" s="130"/>
      <c r="T142" s="130"/>
      <c r="U142" s="130"/>
      <c r="V142" s="132" t="s">
        <v>86</v>
      </c>
    </row>
    <row r="143" spans="1:22" ht="27.6" x14ac:dyDescent="0.3">
      <c r="A143" s="117" t="s">
        <v>589</v>
      </c>
      <c r="B143" s="116" t="s">
        <v>439</v>
      </c>
      <c r="C143" s="157"/>
      <c r="D143" s="158"/>
      <c r="E143" s="158"/>
      <c r="F143" s="158"/>
      <c r="G143" s="158"/>
      <c r="H143" s="158"/>
      <c r="I143" s="158"/>
      <c r="J143" s="158"/>
      <c r="K143" s="158"/>
      <c r="L143" s="158"/>
      <c r="M143" s="158"/>
      <c r="N143" s="158"/>
      <c r="O143" s="158"/>
      <c r="P143" s="158"/>
      <c r="Q143" s="158"/>
      <c r="R143" s="158"/>
      <c r="S143" s="158"/>
      <c r="T143" s="158"/>
      <c r="U143" s="158"/>
      <c r="V143" s="159"/>
    </row>
    <row r="144" spans="1:22" ht="28.8" x14ac:dyDescent="0.3">
      <c r="A144" s="125" t="s">
        <v>588</v>
      </c>
      <c r="B144" s="129" t="s">
        <v>348</v>
      </c>
      <c r="C144" s="129" t="s">
        <v>633</v>
      </c>
      <c r="D144" s="13" t="s">
        <v>278</v>
      </c>
      <c r="E144" s="13"/>
      <c r="F144" s="126"/>
      <c r="G144" s="126"/>
      <c r="H144" s="126"/>
      <c r="I144" s="21" t="s">
        <v>160</v>
      </c>
      <c r="J144" s="84" t="s">
        <v>710</v>
      </c>
      <c r="K144" s="130"/>
      <c r="L144" s="130"/>
      <c r="M144" s="130"/>
      <c r="N144" s="130" t="s">
        <v>699</v>
      </c>
      <c r="O144" s="130" t="s">
        <v>699</v>
      </c>
      <c r="P144" s="130" t="s">
        <v>699</v>
      </c>
      <c r="Q144" s="130"/>
      <c r="R144" s="130"/>
      <c r="S144" s="130"/>
      <c r="T144" s="130"/>
      <c r="U144" s="130"/>
      <c r="V144" s="132" t="s">
        <v>86</v>
      </c>
    </row>
    <row r="145" spans="1:22" ht="26.4" x14ac:dyDescent="0.3">
      <c r="A145" s="117" t="s">
        <v>587</v>
      </c>
      <c r="B145" s="116" t="s">
        <v>440</v>
      </c>
      <c r="C145" s="157"/>
      <c r="D145" s="158"/>
      <c r="E145" s="158"/>
      <c r="F145" s="158"/>
      <c r="G145" s="158"/>
      <c r="H145" s="158"/>
      <c r="I145" s="158"/>
      <c r="J145" s="158"/>
      <c r="K145" s="158"/>
      <c r="L145" s="158"/>
      <c r="M145" s="158"/>
      <c r="N145" s="158"/>
      <c r="O145" s="158"/>
      <c r="P145" s="158"/>
      <c r="Q145" s="158"/>
      <c r="R145" s="158"/>
      <c r="S145" s="158"/>
      <c r="T145" s="158"/>
      <c r="U145" s="158"/>
      <c r="V145" s="159"/>
    </row>
    <row r="146" spans="1:22" ht="39.6" x14ac:dyDescent="0.3">
      <c r="A146" s="125" t="s">
        <v>586</v>
      </c>
      <c r="B146" s="129" t="s">
        <v>349</v>
      </c>
      <c r="C146" s="129" t="s">
        <v>625</v>
      </c>
      <c r="D146" s="13" t="s">
        <v>278</v>
      </c>
      <c r="E146" s="13"/>
      <c r="F146" s="126"/>
      <c r="G146" s="126"/>
      <c r="H146" s="126"/>
      <c r="I146" s="21" t="s">
        <v>160</v>
      </c>
      <c r="J146" s="84" t="s">
        <v>710</v>
      </c>
      <c r="K146" s="130"/>
      <c r="L146" s="130" t="s">
        <v>699</v>
      </c>
      <c r="M146" s="130"/>
      <c r="N146" s="130" t="s">
        <v>699</v>
      </c>
      <c r="O146" s="130" t="s">
        <v>699</v>
      </c>
      <c r="P146" s="130" t="s">
        <v>699</v>
      </c>
      <c r="Q146" s="130"/>
      <c r="R146" s="130"/>
      <c r="S146" s="130"/>
      <c r="T146" s="130"/>
      <c r="U146" s="130"/>
      <c r="V146" s="132" t="s">
        <v>86</v>
      </c>
    </row>
    <row r="147" spans="1:22" ht="27.6" x14ac:dyDescent="0.3">
      <c r="A147" s="117" t="s">
        <v>585</v>
      </c>
      <c r="B147" s="116" t="s">
        <v>441</v>
      </c>
      <c r="C147" s="157"/>
      <c r="D147" s="158"/>
      <c r="E147" s="158"/>
      <c r="F147" s="158"/>
      <c r="G147" s="158"/>
      <c r="H147" s="158"/>
      <c r="I147" s="158"/>
      <c r="J147" s="158"/>
      <c r="K147" s="158"/>
      <c r="L147" s="158"/>
      <c r="M147" s="158"/>
      <c r="N147" s="158"/>
      <c r="O147" s="158"/>
      <c r="P147" s="158"/>
      <c r="Q147" s="158"/>
      <c r="R147" s="158"/>
      <c r="S147" s="158"/>
      <c r="T147" s="158"/>
      <c r="U147" s="158"/>
      <c r="V147" s="159"/>
    </row>
    <row r="148" spans="1:22" ht="28.8" x14ac:dyDescent="0.3">
      <c r="A148" s="125" t="s">
        <v>584</v>
      </c>
      <c r="B148" s="129" t="s">
        <v>350</v>
      </c>
      <c r="C148" s="129" t="s">
        <v>625</v>
      </c>
      <c r="D148" s="13" t="s">
        <v>278</v>
      </c>
      <c r="E148" s="13"/>
      <c r="F148" s="126"/>
      <c r="G148" s="126"/>
      <c r="H148" s="126"/>
      <c r="I148" s="21" t="s">
        <v>160</v>
      </c>
      <c r="J148" s="84" t="s">
        <v>710</v>
      </c>
      <c r="K148" s="130"/>
      <c r="L148" s="130" t="s">
        <v>699</v>
      </c>
      <c r="M148" s="130"/>
      <c r="N148" s="130" t="s">
        <v>699</v>
      </c>
      <c r="O148" s="130" t="s">
        <v>699</v>
      </c>
      <c r="P148" s="130"/>
      <c r="Q148" s="130"/>
      <c r="R148" s="130"/>
      <c r="S148" s="130"/>
      <c r="T148" s="130"/>
      <c r="U148" s="130"/>
      <c r="V148" s="132" t="s">
        <v>86</v>
      </c>
    </row>
    <row r="149" spans="1:22" ht="27.6" x14ac:dyDescent="0.3">
      <c r="A149" s="117" t="s">
        <v>527</v>
      </c>
      <c r="B149" s="116" t="s">
        <v>442</v>
      </c>
      <c r="C149" s="157"/>
      <c r="D149" s="158"/>
      <c r="E149" s="158"/>
      <c r="F149" s="158"/>
      <c r="G149" s="158"/>
      <c r="H149" s="158"/>
      <c r="I149" s="158"/>
      <c r="J149" s="158"/>
      <c r="K149" s="158"/>
      <c r="L149" s="158"/>
      <c r="M149" s="158"/>
      <c r="N149" s="158"/>
      <c r="O149" s="158"/>
      <c r="P149" s="158"/>
      <c r="Q149" s="158"/>
      <c r="R149" s="158"/>
      <c r="S149" s="158"/>
      <c r="T149" s="158"/>
      <c r="U149" s="158"/>
      <c r="V149" s="159"/>
    </row>
    <row r="150" spans="1:22" ht="28.8" x14ac:dyDescent="0.3">
      <c r="A150" s="125" t="s">
        <v>583</v>
      </c>
      <c r="B150" s="129" t="s">
        <v>351</v>
      </c>
      <c r="C150" s="129" t="s">
        <v>630</v>
      </c>
      <c r="D150" s="13" t="s">
        <v>278</v>
      </c>
      <c r="E150" s="13"/>
      <c r="F150" s="126"/>
      <c r="G150" s="126"/>
      <c r="H150" s="126"/>
      <c r="I150" s="21" t="s">
        <v>160</v>
      </c>
      <c r="J150" s="84" t="s">
        <v>710</v>
      </c>
      <c r="K150" s="130"/>
      <c r="L150" s="130"/>
      <c r="M150" s="130"/>
      <c r="N150" s="130" t="s">
        <v>699</v>
      </c>
      <c r="O150" s="130"/>
      <c r="P150" s="130"/>
      <c r="Q150" s="130"/>
      <c r="R150" s="130"/>
      <c r="S150" s="130"/>
      <c r="T150" s="130"/>
      <c r="U150" s="130"/>
      <c r="V150" s="132" t="s">
        <v>86</v>
      </c>
    </row>
    <row r="151" spans="1:22" ht="27.6" x14ac:dyDescent="0.3">
      <c r="A151" s="117" t="s">
        <v>582</v>
      </c>
      <c r="B151" s="116" t="s">
        <v>443</v>
      </c>
      <c r="C151" s="157"/>
      <c r="D151" s="158"/>
      <c r="E151" s="158"/>
      <c r="F151" s="158"/>
      <c r="G151" s="158"/>
      <c r="H151" s="158"/>
      <c r="I151" s="158"/>
      <c r="J151" s="158"/>
      <c r="K151" s="158"/>
      <c r="L151" s="158"/>
      <c r="M151" s="158"/>
      <c r="N151" s="158"/>
      <c r="O151" s="158"/>
      <c r="P151" s="158"/>
      <c r="Q151" s="158"/>
      <c r="R151" s="158"/>
      <c r="S151" s="158"/>
      <c r="T151" s="158"/>
      <c r="U151" s="158"/>
      <c r="V151" s="159"/>
    </row>
    <row r="152" spans="1:22" ht="28.8" x14ac:dyDescent="0.3">
      <c r="A152" s="125" t="s">
        <v>581</v>
      </c>
      <c r="B152" s="129" t="s">
        <v>352</v>
      </c>
      <c r="C152" s="129" t="s">
        <v>648</v>
      </c>
      <c r="D152" s="13" t="s">
        <v>278</v>
      </c>
      <c r="E152" s="13"/>
      <c r="F152" s="126"/>
      <c r="G152" s="126"/>
      <c r="H152" s="126"/>
      <c r="I152" s="21" t="s">
        <v>160</v>
      </c>
      <c r="J152" s="84" t="s">
        <v>710</v>
      </c>
      <c r="K152" s="130"/>
      <c r="L152" s="130"/>
      <c r="M152" s="130"/>
      <c r="N152" s="130" t="s">
        <v>699</v>
      </c>
      <c r="O152" s="130"/>
      <c r="P152" s="130"/>
      <c r="Q152" s="130" t="s">
        <v>699</v>
      </c>
      <c r="R152" s="130"/>
      <c r="S152" s="130"/>
      <c r="T152" s="130"/>
      <c r="U152" s="130"/>
      <c r="V152" s="132" t="s">
        <v>86</v>
      </c>
    </row>
    <row r="153" spans="1:22" ht="24" x14ac:dyDescent="0.3">
      <c r="A153" s="117" t="s">
        <v>525</v>
      </c>
      <c r="B153" s="116" t="s">
        <v>444</v>
      </c>
      <c r="C153" s="157"/>
      <c r="D153" s="158"/>
      <c r="E153" s="158"/>
      <c r="F153" s="158"/>
      <c r="G153" s="158"/>
      <c r="H153" s="158"/>
      <c r="I153" s="158"/>
      <c r="J153" s="158"/>
      <c r="K153" s="158"/>
      <c r="L153" s="158"/>
      <c r="M153" s="158"/>
      <c r="N153" s="158"/>
      <c r="O153" s="158"/>
      <c r="P153" s="158"/>
      <c r="Q153" s="158"/>
      <c r="R153" s="158"/>
      <c r="S153" s="158"/>
      <c r="T153" s="158"/>
      <c r="U153" s="158"/>
      <c r="V153" s="159"/>
    </row>
    <row r="154" spans="1:22" ht="39.6" x14ac:dyDescent="0.3">
      <c r="A154" s="125" t="s">
        <v>578</v>
      </c>
      <c r="B154" s="129" t="s">
        <v>353</v>
      </c>
      <c r="C154" s="129" t="s">
        <v>629</v>
      </c>
      <c r="D154" s="13" t="s">
        <v>278</v>
      </c>
      <c r="E154" s="13"/>
      <c r="F154" s="126"/>
      <c r="G154" s="126"/>
      <c r="H154" s="126"/>
      <c r="I154" s="21" t="s">
        <v>160</v>
      </c>
      <c r="J154" s="84" t="s">
        <v>710</v>
      </c>
      <c r="K154" s="130"/>
      <c r="L154" s="130"/>
      <c r="M154" s="130"/>
      <c r="N154" s="130" t="s">
        <v>699</v>
      </c>
      <c r="O154" s="130"/>
      <c r="P154" s="130"/>
      <c r="Q154" s="130"/>
      <c r="R154" s="130"/>
      <c r="S154" s="130"/>
      <c r="T154" s="130"/>
      <c r="U154" s="130"/>
      <c r="V154" s="132" t="s">
        <v>86</v>
      </c>
    </row>
    <row r="155" spans="1:22" ht="27.6" x14ac:dyDescent="0.3">
      <c r="A155" s="117" t="s">
        <v>580</v>
      </c>
      <c r="B155" s="116" t="s">
        <v>445</v>
      </c>
      <c r="C155" s="157"/>
      <c r="D155" s="158"/>
      <c r="E155" s="158"/>
      <c r="F155" s="158"/>
      <c r="G155" s="158"/>
      <c r="H155" s="158"/>
      <c r="I155" s="158"/>
      <c r="J155" s="158"/>
      <c r="K155" s="158"/>
      <c r="L155" s="158"/>
      <c r="M155" s="158"/>
      <c r="N155" s="158"/>
      <c r="O155" s="158"/>
      <c r="P155" s="158"/>
      <c r="Q155" s="158"/>
      <c r="R155" s="158"/>
      <c r="S155" s="158"/>
      <c r="T155" s="158"/>
      <c r="U155" s="158"/>
      <c r="V155" s="159"/>
    </row>
    <row r="156" spans="1:22" ht="39.6" x14ac:dyDescent="0.3">
      <c r="A156" s="125" t="s">
        <v>579</v>
      </c>
      <c r="B156" s="129" t="s">
        <v>354</v>
      </c>
      <c r="C156" s="129" t="s">
        <v>629</v>
      </c>
      <c r="D156" s="133" t="s">
        <v>278</v>
      </c>
      <c r="E156" s="13"/>
      <c r="F156" s="126"/>
      <c r="G156" s="126"/>
      <c r="H156" s="126"/>
      <c r="I156" s="21" t="s">
        <v>160</v>
      </c>
      <c r="J156" s="84" t="s">
        <v>710</v>
      </c>
      <c r="K156" s="130"/>
      <c r="L156" s="130"/>
      <c r="M156" s="130"/>
      <c r="N156" s="130" t="s">
        <v>699</v>
      </c>
      <c r="O156" s="130"/>
      <c r="P156" s="130"/>
      <c r="Q156" s="130"/>
      <c r="R156" s="130"/>
      <c r="S156" s="130"/>
      <c r="T156" s="130"/>
      <c r="U156" s="130"/>
      <c r="V156" s="132" t="s">
        <v>86</v>
      </c>
    </row>
    <row r="157" spans="1:22" ht="27.6" x14ac:dyDescent="0.3">
      <c r="A157" s="117" t="s">
        <v>577</v>
      </c>
      <c r="B157" s="116" t="s">
        <v>446</v>
      </c>
      <c r="C157" s="157"/>
      <c r="D157" s="158"/>
      <c r="E157" s="158"/>
      <c r="F157" s="158"/>
      <c r="G157" s="158"/>
      <c r="H157" s="158"/>
      <c r="I157" s="158"/>
      <c r="J157" s="158"/>
      <c r="K157" s="158"/>
      <c r="L157" s="158"/>
      <c r="M157" s="158"/>
      <c r="N157" s="158"/>
      <c r="O157" s="158"/>
      <c r="P157" s="158"/>
      <c r="Q157" s="158"/>
      <c r="R157" s="158"/>
      <c r="S157" s="158"/>
      <c r="T157" s="158"/>
      <c r="U157" s="158"/>
      <c r="V157" s="159"/>
    </row>
    <row r="158" spans="1:22" ht="39.6" x14ac:dyDescent="0.3">
      <c r="A158" s="125" t="s">
        <v>528</v>
      </c>
      <c r="B158" s="129" t="s">
        <v>355</v>
      </c>
      <c r="C158" s="129" t="s">
        <v>649</v>
      </c>
      <c r="D158" s="133" t="s">
        <v>278</v>
      </c>
      <c r="E158" s="13"/>
      <c r="F158" s="126"/>
      <c r="G158" s="126"/>
      <c r="H158" s="126"/>
      <c r="I158" s="21" t="s">
        <v>160</v>
      </c>
      <c r="J158" s="84" t="s">
        <v>710</v>
      </c>
      <c r="K158" s="130"/>
      <c r="L158" s="130"/>
      <c r="M158" s="130"/>
      <c r="N158" s="130" t="s">
        <v>699</v>
      </c>
      <c r="O158" s="130"/>
      <c r="P158" s="130"/>
      <c r="Q158" s="130"/>
      <c r="R158" s="130"/>
      <c r="S158" s="130"/>
      <c r="T158" s="130"/>
      <c r="U158" s="130"/>
      <c r="V158" s="132" t="s">
        <v>86</v>
      </c>
    </row>
    <row r="159" spans="1:22" ht="27.6" x14ac:dyDescent="0.3">
      <c r="A159" s="117" t="s">
        <v>576</v>
      </c>
      <c r="B159" s="116" t="s">
        <v>447</v>
      </c>
      <c r="C159" s="157"/>
      <c r="D159" s="158"/>
      <c r="E159" s="158"/>
      <c r="F159" s="158"/>
      <c r="G159" s="158"/>
      <c r="H159" s="158"/>
      <c r="I159" s="158"/>
      <c r="J159" s="158"/>
      <c r="K159" s="158"/>
      <c r="L159" s="158"/>
      <c r="M159" s="158"/>
      <c r="N159" s="158"/>
      <c r="O159" s="158"/>
      <c r="P159" s="158"/>
      <c r="Q159" s="158"/>
      <c r="R159" s="158"/>
      <c r="S159" s="158"/>
      <c r="T159" s="158"/>
      <c r="U159" s="158"/>
      <c r="V159" s="159"/>
    </row>
    <row r="160" spans="1:22" ht="39.6" x14ac:dyDescent="0.3">
      <c r="A160" s="125" t="s">
        <v>528</v>
      </c>
      <c r="B160" s="129" t="s">
        <v>356</v>
      </c>
      <c r="C160" s="129" t="s">
        <v>649</v>
      </c>
      <c r="D160" s="133" t="s">
        <v>278</v>
      </c>
      <c r="E160" s="13"/>
      <c r="F160" s="126"/>
      <c r="G160" s="126"/>
      <c r="H160" s="126"/>
      <c r="I160" s="21" t="s">
        <v>160</v>
      </c>
      <c r="J160" s="84" t="s">
        <v>710</v>
      </c>
      <c r="K160" s="130"/>
      <c r="L160" s="130"/>
      <c r="M160" s="130"/>
      <c r="N160" s="130" t="s">
        <v>699</v>
      </c>
      <c r="O160" s="130" t="s">
        <v>699</v>
      </c>
      <c r="P160" s="130"/>
      <c r="Q160" s="130"/>
      <c r="R160" s="130"/>
      <c r="S160" s="130"/>
      <c r="T160" s="130"/>
      <c r="U160" s="130"/>
      <c r="V160" s="132" t="s">
        <v>86</v>
      </c>
    </row>
    <row r="161" spans="1:22" ht="27.6" x14ac:dyDescent="0.3">
      <c r="A161" s="117" t="s">
        <v>529</v>
      </c>
      <c r="B161" s="116" t="s">
        <v>448</v>
      </c>
      <c r="C161" s="157"/>
      <c r="D161" s="158"/>
      <c r="E161" s="158"/>
      <c r="F161" s="158"/>
      <c r="G161" s="158"/>
      <c r="H161" s="158"/>
      <c r="I161" s="158"/>
      <c r="J161" s="158"/>
      <c r="K161" s="158"/>
      <c r="L161" s="158"/>
      <c r="M161" s="158"/>
      <c r="N161" s="158"/>
      <c r="O161" s="158"/>
      <c r="P161" s="158"/>
      <c r="Q161" s="158"/>
      <c r="R161" s="158"/>
      <c r="S161" s="158"/>
      <c r="T161" s="158"/>
      <c r="U161" s="158"/>
      <c r="V161" s="159"/>
    </row>
    <row r="162" spans="1:22" ht="28.8" x14ac:dyDescent="0.3">
      <c r="A162" s="125" t="s">
        <v>530</v>
      </c>
      <c r="B162" s="129" t="s">
        <v>357</v>
      </c>
      <c r="C162" s="129" t="s">
        <v>650</v>
      </c>
      <c r="D162" s="133" t="s">
        <v>278</v>
      </c>
      <c r="E162" s="13"/>
      <c r="F162" s="126"/>
      <c r="G162" s="126"/>
      <c r="H162" s="126"/>
      <c r="I162" s="21" t="s">
        <v>160</v>
      </c>
      <c r="J162" s="84" t="s">
        <v>710</v>
      </c>
      <c r="K162" s="130"/>
      <c r="L162" s="130"/>
      <c r="M162" s="130"/>
      <c r="N162" s="130" t="s">
        <v>699</v>
      </c>
      <c r="O162" s="130" t="s">
        <v>699</v>
      </c>
      <c r="P162" s="130"/>
      <c r="Q162" s="130"/>
      <c r="R162" s="130"/>
      <c r="S162" s="130"/>
      <c r="T162" s="130"/>
      <c r="U162" s="130"/>
      <c r="V162" s="132" t="s">
        <v>86</v>
      </c>
    </row>
    <row r="163" spans="1:22" ht="28.8" x14ac:dyDescent="0.3">
      <c r="A163" s="117" t="s">
        <v>575</v>
      </c>
      <c r="B163" s="116" t="s">
        <v>473</v>
      </c>
      <c r="C163" s="157"/>
      <c r="D163" s="158"/>
      <c r="E163" s="158"/>
      <c r="F163" s="158"/>
      <c r="G163" s="158"/>
      <c r="H163" s="158"/>
      <c r="I163" s="158"/>
      <c r="J163" s="158"/>
      <c r="K163" s="158"/>
      <c r="L163" s="158"/>
      <c r="M163" s="158"/>
      <c r="N163" s="158"/>
      <c r="O163" s="158"/>
      <c r="P163" s="158"/>
      <c r="Q163" s="158"/>
      <c r="R163" s="158"/>
      <c r="S163" s="158"/>
      <c r="T163" s="158"/>
      <c r="U163" s="158"/>
      <c r="V163" s="159"/>
    </row>
    <row r="164" spans="1:22" ht="30" x14ac:dyDescent="0.3">
      <c r="A164" s="125" t="s">
        <v>531</v>
      </c>
      <c r="B164" s="129" t="s">
        <v>358</v>
      </c>
      <c r="C164" s="129" t="s">
        <v>651</v>
      </c>
      <c r="D164" s="133" t="s">
        <v>278</v>
      </c>
      <c r="E164" s="13"/>
      <c r="F164" s="126"/>
      <c r="G164" s="126"/>
      <c r="H164" s="126"/>
      <c r="I164" s="21" t="s">
        <v>160</v>
      </c>
      <c r="J164" s="84" t="s">
        <v>710</v>
      </c>
      <c r="K164" s="130"/>
      <c r="L164" s="130"/>
      <c r="M164" s="130"/>
      <c r="N164" s="130" t="s">
        <v>699</v>
      </c>
      <c r="O164" s="130"/>
      <c r="P164" s="130"/>
      <c r="Q164" s="130"/>
      <c r="R164" s="130"/>
      <c r="S164" s="130"/>
      <c r="T164" s="130"/>
      <c r="U164" s="130"/>
      <c r="V164" s="132" t="s">
        <v>86</v>
      </c>
    </row>
    <row r="165" spans="1:22" ht="27.6" x14ac:dyDescent="0.3">
      <c r="A165" s="117" t="s">
        <v>574</v>
      </c>
      <c r="B165" s="116" t="s">
        <v>449</v>
      </c>
      <c r="C165" s="157"/>
      <c r="D165" s="158"/>
      <c r="E165" s="158"/>
      <c r="F165" s="158"/>
      <c r="G165" s="158"/>
      <c r="H165" s="158"/>
      <c r="I165" s="158"/>
      <c r="J165" s="158"/>
      <c r="K165" s="158"/>
      <c r="L165" s="158"/>
      <c r="M165" s="158"/>
      <c r="N165" s="158"/>
      <c r="O165" s="158"/>
      <c r="P165" s="158"/>
      <c r="Q165" s="158"/>
      <c r="R165" s="158"/>
      <c r="S165" s="158"/>
      <c r="T165" s="158"/>
      <c r="U165" s="158"/>
      <c r="V165" s="159"/>
    </row>
    <row r="166" spans="1:22" ht="28.8" x14ac:dyDescent="0.3">
      <c r="A166" s="125" t="s">
        <v>532</v>
      </c>
      <c r="B166" s="129" t="s">
        <v>359</v>
      </c>
      <c r="C166" s="129" t="s">
        <v>651</v>
      </c>
      <c r="D166" s="133" t="s">
        <v>278</v>
      </c>
      <c r="E166" s="13"/>
      <c r="F166" s="126"/>
      <c r="G166" s="126"/>
      <c r="H166" s="126"/>
      <c r="I166" s="21" t="s">
        <v>160</v>
      </c>
      <c r="J166" s="84" t="s">
        <v>710</v>
      </c>
      <c r="K166" s="130"/>
      <c r="L166" s="130"/>
      <c r="M166" s="130"/>
      <c r="N166" s="130" t="s">
        <v>699</v>
      </c>
      <c r="O166" s="130"/>
      <c r="P166" s="130"/>
      <c r="Q166" s="130"/>
      <c r="R166" s="130"/>
      <c r="S166" s="130"/>
      <c r="T166" s="130"/>
      <c r="U166" s="130"/>
      <c r="V166" s="132" t="s">
        <v>86</v>
      </c>
    </row>
    <row r="167" spans="1:22" ht="28.8" x14ac:dyDescent="0.3">
      <c r="A167" s="117" t="s">
        <v>533</v>
      </c>
      <c r="B167" s="116" t="s">
        <v>450</v>
      </c>
      <c r="C167" s="157"/>
      <c r="D167" s="158"/>
      <c r="E167" s="158"/>
      <c r="F167" s="158"/>
      <c r="G167" s="158"/>
      <c r="H167" s="158"/>
      <c r="I167" s="158"/>
      <c r="J167" s="158"/>
      <c r="K167" s="158"/>
      <c r="L167" s="158"/>
      <c r="M167" s="158"/>
      <c r="N167" s="158"/>
      <c r="O167" s="158"/>
      <c r="P167" s="158"/>
      <c r="Q167" s="158"/>
      <c r="R167" s="158"/>
      <c r="S167" s="158"/>
      <c r="T167" s="158"/>
      <c r="U167" s="158"/>
      <c r="V167" s="159"/>
    </row>
    <row r="168" spans="1:22" ht="30" x14ac:dyDescent="0.3">
      <c r="A168" s="125" t="s">
        <v>573</v>
      </c>
      <c r="B168" s="129" t="s">
        <v>360</v>
      </c>
      <c r="C168" s="129" t="s">
        <v>651</v>
      </c>
      <c r="D168" s="133" t="s">
        <v>278</v>
      </c>
      <c r="E168" s="13"/>
      <c r="F168" s="126"/>
      <c r="G168" s="126"/>
      <c r="H168" s="126"/>
      <c r="I168" s="21" t="s">
        <v>160</v>
      </c>
      <c r="J168" s="84" t="s">
        <v>710</v>
      </c>
      <c r="K168" s="130"/>
      <c r="L168" s="130"/>
      <c r="M168" s="130"/>
      <c r="N168" s="130" t="s">
        <v>699</v>
      </c>
      <c r="O168" s="130" t="s">
        <v>699</v>
      </c>
      <c r="P168" s="130"/>
      <c r="Q168" s="130"/>
      <c r="R168" s="130"/>
      <c r="S168" s="130"/>
      <c r="T168" s="130"/>
      <c r="U168" s="130"/>
      <c r="V168" s="132" t="s">
        <v>86</v>
      </c>
    </row>
    <row r="169" spans="1:22" ht="28.8" x14ac:dyDescent="0.3">
      <c r="A169" s="117" t="s">
        <v>572</v>
      </c>
      <c r="B169" s="116" t="s">
        <v>451</v>
      </c>
      <c r="C169" s="157"/>
      <c r="D169" s="158"/>
      <c r="E169" s="158"/>
      <c r="F169" s="158"/>
      <c r="G169" s="158"/>
      <c r="H169" s="158"/>
      <c r="I169" s="158"/>
      <c r="J169" s="158"/>
      <c r="K169" s="158"/>
      <c r="L169" s="158"/>
      <c r="M169" s="158"/>
      <c r="N169" s="158"/>
      <c r="O169" s="158"/>
      <c r="P169" s="158"/>
      <c r="Q169" s="158"/>
      <c r="R169" s="158"/>
      <c r="S169" s="158"/>
      <c r="T169" s="158"/>
      <c r="U169" s="158"/>
      <c r="V169" s="159"/>
    </row>
    <row r="170" spans="1:22" ht="30" x14ac:dyDescent="0.3">
      <c r="A170" s="125" t="s">
        <v>534</v>
      </c>
      <c r="B170" s="129" t="s">
        <v>361</v>
      </c>
      <c r="C170" s="129" t="s">
        <v>651</v>
      </c>
      <c r="D170" s="133" t="s">
        <v>278</v>
      </c>
      <c r="E170" s="13"/>
      <c r="F170" s="126"/>
      <c r="G170" s="126"/>
      <c r="H170" s="126"/>
      <c r="I170" s="21" t="s">
        <v>160</v>
      </c>
      <c r="J170" s="84" t="s">
        <v>710</v>
      </c>
      <c r="K170" s="130"/>
      <c r="L170" s="130"/>
      <c r="M170" s="130"/>
      <c r="N170" s="130" t="s">
        <v>699</v>
      </c>
      <c r="O170" s="130" t="s">
        <v>699</v>
      </c>
      <c r="P170" s="130"/>
      <c r="Q170" s="130"/>
      <c r="R170" s="130"/>
      <c r="S170" s="130"/>
      <c r="T170" s="130"/>
      <c r="U170" s="130"/>
      <c r="V170" s="132" t="s">
        <v>86</v>
      </c>
    </row>
    <row r="171" spans="1:22" ht="28.8" x14ac:dyDescent="0.3">
      <c r="A171" s="117" t="s">
        <v>571</v>
      </c>
      <c r="B171" s="116" t="s">
        <v>452</v>
      </c>
      <c r="C171" s="157"/>
      <c r="D171" s="158"/>
      <c r="E171" s="158"/>
      <c r="F171" s="158"/>
      <c r="G171" s="158"/>
      <c r="H171" s="158"/>
      <c r="I171" s="158"/>
      <c r="J171" s="158"/>
      <c r="K171" s="158"/>
      <c r="L171" s="158"/>
      <c r="M171" s="158"/>
      <c r="N171" s="158"/>
      <c r="O171" s="158"/>
      <c r="P171" s="158"/>
      <c r="Q171" s="158"/>
      <c r="R171" s="158"/>
      <c r="S171" s="158"/>
      <c r="T171" s="158"/>
      <c r="U171" s="158"/>
      <c r="V171" s="159"/>
    </row>
    <row r="172" spans="1:22" ht="30" x14ac:dyDescent="0.3">
      <c r="A172" s="125" t="s">
        <v>474</v>
      </c>
      <c r="B172" s="129" t="s">
        <v>362</v>
      </c>
      <c r="C172" s="129" t="s">
        <v>647</v>
      </c>
      <c r="D172" s="133" t="s">
        <v>278</v>
      </c>
      <c r="E172" s="13"/>
      <c r="F172" s="126"/>
      <c r="G172" s="126"/>
      <c r="H172" s="126"/>
      <c r="I172" s="21" t="s">
        <v>160</v>
      </c>
      <c r="J172" s="84" t="s">
        <v>710</v>
      </c>
      <c r="K172" s="130"/>
      <c r="L172" s="130"/>
      <c r="M172" s="130"/>
      <c r="N172" s="130" t="s">
        <v>699</v>
      </c>
      <c r="O172" s="130" t="s">
        <v>699</v>
      </c>
      <c r="P172" s="130"/>
      <c r="Q172" s="130"/>
      <c r="R172" s="130"/>
      <c r="S172" s="130"/>
      <c r="T172" s="130"/>
      <c r="U172" s="130"/>
      <c r="V172" s="132" t="s">
        <v>86</v>
      </c>
    </row>
    <row r="173" spans="1:22" ht="28.8" x14ac:dyDescent="0.3">
      <c r="A173" s="117" t="s">
        <v>570</v>
      </c>
      <c r="B173" s="116" t="s">
        <v>453</v>
      </c>
      <c r="C173" s="157"/>
      <c r="D173" s="158"/>
      <c r="E173" s="158"/>
      <c r="F173" s="158"/>
      <c r="G173" s="158"/>
      <c r="H173" s="158"/>
      <c r="I173" s="158"/>
      <c r="J173" s="158"/>
      <c r="K173" s="158"/>
      <c r="L173" s="158"/>
      <c r="M173" s="158"/>
      <c r="N173" s="158"/>
      <c r="O173" s="158"/>
      <c r="P173" s="158"/>
      <c r="Q173" s="158"/>
      <c r="R173" s="158"/>
      <c r="S173" s="158"/>
      <c r="T173" s="158"/>
      <c r="U173" s="158"/>
      <c r="V173" s="159"/>
    </row>
    <row r="174" spans="1:22" ht="30" x14ac:dyDescent="0.3">
      <c r="A174" s="125" t="s">
        <v>535</v>
      </c>
      <c r="B174" s="129" t="s">
        <v>363</v>
      </c>
      <c r="C174" s="129" t="s">
        <v>652</v>
      </c>
      <c r="D174" s="133" t="s">
        <v>278</v>
      </c>
      <c r="E174" s="13"/>
      <c r="F174" s="126"/>
      <c r="G174" s="126"/>
      <c r="H174" s="126"/>
      <c r="I174" s="21" t="s">
        <v>160</v>
      </c>
      <c r="J174" s="84" t="s">
        <v>710</v>
      </c>
      <c r="K174" s="130"/>
      <c r="L174" s="130"/>
      <c r="M174" s="130"/>
      <c r="N174" s="130"/>
      <c r="O174" s="130" t="s">
        <v>699</v>
      </c>
      <c r="P174" s="130"/>
      <c r="Q174" s="130"/>
      <c r="R174" s="130"/>
      <c r="S174" s="130"/>
      <c r="T174" s="130"/>
      <c r="U174" s="130"/>
      <c r="V174" s="132" t="s">
        <v>86</v>
      </c>
    </row>
    <row r="175" spans="1:22" ht="28.8" x14ac:dyDescent="0.3">
      <c r="A175" s="117" t="s">
        <v>569</v>
      </c>
      <c r="B175" s="116" t="s">
        <v>454</v>
      </c>
      <c r="C175" s="157"/>
      <c r="D175" s="158"/>
      <c r="E175" s="158"/>
      <c r="F175" s="158"/>
      <c r="G175" s="158"/>
      <c r="H175" s="158"/>
      <c r="I175" s="158"/>
      <c r="J175" s="158"/>
      <c r="K175" s="158"/>
      <c r="L175" s="158"/>
      <c r="M175" s="158"/>
      <c r="N175" s="158"/>
      <c r="O175" s="158"/>
      <c r="P175" s="158"/>
      <c r="Q175" s="158"/>
      <c r="R175" s="158"/>
      <c r="S175" s="158"/>
      <c r="T175" s="158"/>
      <c r="U175" s="158"/>
      <c r="V175" s="159"/>
    </row>
    <row r="176" spans="1:22" ht="30" x14ac:dyDescent="0.3">
      <c r="A176" s="125" t="s">
        <v>536</v>
      </c>
      <c r="B176" s="129" t="s">
        <v>364</v>
      </c>
      <c r="C176" s="129" t="s">
        <v>652</v>
      </c>
      <c r="D176" s="133" t="s">
        <v>278</v>
      </c>
      <c r="E176" s="13"/>
      <c r="F176" s="126"/>
      <c r="G176" s="126"/>
      <c r="H176" s="126"/>
      <c r="I176" s="21" t="s">
        <v>160</v>
      </c>
      <c r="J176" s="84" t="s">
        <v>710</v>
      </c>
      <c r="K176" s="130"/>
      <c r="L176" s="130"/>
      <c r="M176" s="130"/>
      <c r="N176" s="130" t="s">
        <v>699</v>
      </c>
      <c r="O176" s="130" t="s">
        <v>699</v>
      </c>
      <c r="P176" s="130"/>
      <c r="Q176" s="130"/>
      <c r="R176" s="130"/>
      <c r="S176" s="130"/>
      <c r="T176" s="130"/>
      <c r="U176" s="130"/>
      <c r="V176" s="132" t="s">
        <v>86</v>
      </c>
    </row>
    <row r="177" spans="1:22" ht="28.8" x14ac:dyDescent="0.3">
      <c r="A177" s="117" t="s">
        <v>568</v>
      </c>
      <c r="B177" s="116" t="s">
        <v>455</v>
      </c>
      <c r="C177" s="157"/>
      <c r="D177" s="158"/>
      <c r="E177" s="158"/>
      <c r="F177" s="158"/>
      <c r="G177" s="158"/>
      <c r="H177" s="158"/>
      <c r="I177" s="158"/>
      <c r="J177" s="158"/>
      <c r="K177" s="158"/>
      <c r="L177" s="158"/>
      <c r="M177" s="158"/>
      <c r="N177" s="158"/>
      <c r="O177" s="158"/>
      <c r="P177" s="158"/>
      <c r="Q177" s="158"/>
      <c r="R177" s="158"/>
      <c r="S177" s="158"/>
      <c r="T177" s="158"/>
      <c r="U177" s="158"/>
      <c r="V177" s="159"/>
    </row>
    <row r="178" spans="1:22" ht="30" x14ac:dyDescent="0.3">
      <c r="A178" s="125" t="s">
        <v>537</v>
      </c>
      <c r="B178" s="129" t="s">
        <v>365</v>
      </c>
      <c r="C178" s="129" t="s">
        <v>652</v>
      </c>
      <c r="D178" s="133" t="s">
        <v>278</v>
      </c>
      <c r="E178" s="13"/>
      <c r="F178" s="126"/>
      <c r="G178" s="126"/>
      <c r="H178" s="126"/>
      <c r="I178" s="21" t="s">
        <v>160</v>
      </c>
      <c r="J178" s="84" t="s">
        <v>710</v>
      </c>
      <c r="K178" s="130"/>
      <c r="L178" s="130"/>
      <c r="M178" s="130"/>
      <c r="N178" s="130"/>
      <c r="O178" s="130" t="s">
        <v>699</v>
      </c>
      <c r="P178" s="130"/>
      <c r="Q178" s="130"/>
      <c r="R178" s="130"/>
      <c r="S178" s="130"/>
      <c r="T178" s="130"/>
      <c r="U178" s="130"/>
      <c r="V178" s="132" t="s">
        <v>86</v>
      </c>
    </row>
    <row r="179" spans="1:22" ht="28.8" x14ac:dyDescent="0.3">
      <c r="A179" s="117" t="s">
        <v>538</v>
      </c>
      <c r="B179" s="116" t="s">
        <v>456</v>
      </c>
      <c r="C179" s="157"/>
      <c r="D179" s="158"/>
      <c r="E179" s="158"/>
      <c r="F179" s="158"/>
      <c r="G179" s="158"/>
      <c r="H179" s="158"/>
      <c r="I179" s="158"/>
      <c r="J179" s="158"/>
      <c r="K179" s="158"/>
      <c r="L179" s="158"/>
      <c r="M179" s="158"/>
      <c r="N179" s="158"/>
      <c r="O179" s="158"/>
      <c r="P179" s="158"/>
      <c r="Q179" s="158"/>
      <c r="R179" s="158"/>
      <c r="S179" s="158"/>
      <c r="T179" s="158"/>
      <c r="U179" s="158"/>
      <c r="V179" s="159"/>
    </row>
    <row r="180" spans="1:22" ht="30" x14ac:dyDescent="0.3">
      <c r="A180" s="125" t="s">
        <v>539</v>
      </c>
      <c r="B180" s="129" t="s">
        <v>366</v>
      </c>
      <c r="C180" s="129" t="s">
        <v>652</v>
      </c>
      <c r="D180" s="133" t="s">
        <v>278</v>
      </c>
      <c r="E180" s="13"/>
      <c r="F180" s="126"/>
      <c r="G180" s="126"/>
      <c r="H180" s="126"/>
      <c r="I180" s="21" t="s">
        <v>160</v>
      </c>
      <c r="J180" s="84" t="s">
        <v>710</v>
      </c>
      <c r="K180" s="130"/>
      <c r="L180" s="130"/>
      <c r="M180" s="130"/>
      <c r="N180" s="130"/>
      <c r="O180" s="130" t="s">
        <v>699</v>
      </c>
      <c r="P180" s="130"/>
      <c r="Q180" s="130"/>
      <c r="R180" s="130"/>
      <c r="S180" s="130"/>
      <c r="T180" s="130"/>
      <c r="U180" s="130"/>
      <c r="V180" s="132" t="s">
        <v>86</v>
      </c>
    </row>
    <row r="181" spans="1:22" ht="28.8" x14ac:dyDescent="0.3">
      <c r="A181" s="117" t="s">
        <v>567</v>
      </c>
      <c r="B181" s="116" t="s">
        <v>457</v>
      </c>
      <c r="C181" s="157"/>
      <c r="D181" s="158"/>
      <c r="E181" s="158"/>
      <c r="F181" s="158"/>
      <c r="G181" s="158"/>
      <c r="H181" s="158"/>
      <c r="I181" s="158"/>
      <c r="J181" s="158"/>
      <c r="K181" s="158"/>
      <c r="L181" s="158"/>
      <c r="M181" s="158"/>
      <c r="N181" s="158"/>
      <c r="O181" s="158"/>
      <c r="P181" s="158"/>
      <c r="Q181" s="158"/>
      <c r="R181" s="158"/>
      <c r="S181" s="158"/>
      <c r="T181" s="158"/>
      <c r="U181" s="158"/>
      <c r="V181" s="159"/>
    </row>
    <row r="182" spans="1:22" ht="39.6" x14ac:dyDescent="0.3">
      <c r="A182" s="125" t="s">
        <v>540</v>
      </c>
      <c r="B182" s="129" t="s">
        <v>367</v>
      </c>
      <c r="C182" s="129" t="s">
        <v>653</v>
      </c>
      <c r="D182" s="133" t="s">
        <v>278</v>
      </c>
      <c r="E182" s="13"/>
      <c r="F182" s="126"/>
      <c r="G182" s="126"/>
      <c r="H182" s="126"/>
      <c r="I182" s="21" t="s">
        <v>160</v>
      </c>
      <c r="J182" s="84" t="s">
        <v>710</v>
      </c>
      <c r="K182" s="130"/>
      <c r="L182" s="130"/>
      <c r="M182" s="130"/>
      <c r="N182" s="130"/>
      <c r="O182" s="130" t="s">
        <v>699</v>
      </c>
      <c r="P182" s="130"/>
      <c r="Q182" s="130"/>
      <c r="R182" s="130"/>
      <c r="S182" s="130"/>
      <c r="T182" s="130"/>
      <c r="U182" s="130"/>
      <c r="V182" s="132" t="s">
        <v>86</v>
      </c>
    </row>
    <row r="183" spans="1:22" ht="28.8" x14ac:dyDescent="0.3">
      <c r="A183" s="117" t="s">
        <v>541</v>
      </c>
      <c r="B183" s="116" t="s">
        <v>458</v>
      </c>
      <c r="C183" s="157"/>
      <c r="D183" s="158"/>
      <c r="E183" s="158"/>
      <c r="F183" s="158"/>
      <c r="G183" s="158"/>
      <c r="H183" s="158"/>
      <c r="I183" s="158"/>
      <c r="J183" s="158"/>
      <c r="K183" s="158"/>
      <c r="L183" s="158"/>
      <c r="M183" s="158"/>
      <c r="N183" s="158"/>
      <c r="O183" s="158"/>
      <c r="P183" s="158"/>
      <c r="Q183" s="158"/>
      <c r="R183" s="158"/>
      <c r="S183" s="158"/>
      <c r="T183" s="158"/>
      <c r="U183" s="158"/>
      <c r="V183" s="159"/>
    </row>
    <row r="184" spans="1:22" ht="39.6" x14ac:dyDescent="0.3">
      <c r="A184" s="125" t="s">
        <v>542</v>
      </c>
      <c r="B184" s="129" t="s">
        <v>368</v>
      </c>
      <c r="C184" s="129" t="s">
        <v>654</v>
      </c>
      <c r="D184" s="133" t="s">
        <v>278</v>
      </c>
      <c r="E184" s="13"/>
      <c r="F184" s="126"/>
      <c r="G184" s="126"/>
      <c r="H184" s="126"/>
      <c r="I184" s="21" t="s">
        <v>160</v>
      </c>
      <c r="J184" s="84" t="s">
        <v>710</v>
      </c>
      <c r="K184" s="130"/>
      <c r="L184" s="130"/>
      <c r="M184" s="130"/>
      <c r="N184" s="130"/>
      <c r="O184" s="130" t="s">
        <v>699</v>
      </c>
      <c r="P184" s="130"/>
      <c r="Q184" s="130"/>
      <c r="R184" s="130"/>
      <c r="S184" s="130"/>
      <c r="T184" s="130"/>
      <c r="U184" s="130"/>
      <c r="V184" s="132" t="s">
        <v>86</v>
      </c>
    </row>
    <row r="185" spans="1:22" ht="27.6" x14ac:dyDescent="0.3">
      <c r="A185" s="117" t="s">
        <v>696</v>
      </c>
      <c r="B185" s="116" t="s">
        <v>459</v>
      </c>
      <c r="C185" s="157"/>
      <c r="D185" s="158"/>
      <c r="E185" s="158"/>
      <c r="F185" s="158"/>
      <c r="G185" s="158"/>
      <c r="H185" s="158"/>
      <c r="I185" s="158"/>
      <c r="J185" s="158"/>
      <c r="K185" s="158"/>
      <c r="L185" s="158"/>
      <c r="M185" s="158"/>
      <c r="N185" s="158"/>
      <c r="O185" s="158"/>
      <c r="P185" s="158"/>
      <c r="Q185" s="158"/>
      <c r="R185" s="158"/>
      <c r="S185" s="158"/>
      <c r="T185" s="158"/>
      <c r="U185" s="158"/>
      <c r="V185" s="159"/>
    </row>
    <row r="186" spans="1:22" ht="28.8" x14ac:dyDescent="0.3">
      <c r="A186" s="125" t="s">
        <v>543</v>
      </c>
      <c r="B186" s="129" t="s">
        <v>369</v>
      </c>
      <c r="C186" s="129" t="s">
        <v>652</v>
      </c>
      <c r="D186" s="133" t="s">
        <v>278</v>
      </c>
      <c r="E186" s="13"/>
      <c r="F186" s="126"/>
      <c r="G186" s="126"/>
      <c r="H186" s="126"/>
      <c r="I186" s="21" t="s">
        <v>160</v>
      </c>
      <c r="J186" s="84" t="s">
        <v>710</v>
      </c>
      <c r="K186" s="130"/>
      <c r="L186" s="130"/>
      <c r="M186" s="130"/>
      <c r="N186" s="130" t="s">
        <v>699</v>
      </c>
      <c r="O186" s="130" t="s">
        <v>699</v>
      </c>
      <c r="P186" s="130"/>
      <c r="Q186" s="130"/>
      <c r="R186" s="130"/>
      <c r="S186" s="130"/>
      <c r="T186" s="130"/>
      <c r="U186" s="130"/>
      <c r="V186" s="132" t="s">
        <v>86</v>
      </c>
    </row>
    <row r="187" spans="1:22" ht="28.8" x14ac:dyDescent="0.3">
      <c r="A187" s="117" t="s">
        <v>544</v>
      </c>
      <c r="B187" s="116" t="s">
        <v>460</v>
      </c>
      <c r="C187" s="157"/>
      <c r="D187" s="158"/>
      <c r="E187" s="158"/>
      <c r="F187" s="158"/>
      <c r="G187" s="158"/>
      <c r="H187" s="158"/>
      <c r="I187" s="158"/>
      <c r="J187" s="158"/>
      <c r="K187" s="158"/>
      <c r="L187" s="158"/>
      <c r="M187" s="158"/>
      <c r="N187" s="158"/>
      <c r="O187" s="158"/>
      <c r="P187" s="158"/>
      <c r="Q187" s="158"/>
      <c r="R187" s="158"/>
      <c r="S187" s="158"/>
      <c r="T187" s="158"/>
      <c r="U187" s="158"/>
      <c r="V187" s="159"/>
    </row>
    <row r="188" spans="1:22" ht="30" x14ac:dyDescent="0.3">
      <c r="A188" s="125" t="s">
        <v>545</v>
      </c>
      <c r="B188" s="129" t="s">
        <v>370</v>
      </c>
      <c r="C188" s="129" t="s">
        <v>652</v>
      </c>
      <c r="D188" s="133" t="s">
        <v>278</v>
      </c>
      <c r="E188" s="13"/>
      <c r="F188" s="126"/>
      <c r="G188" s="126"/>
      <c r="H188" s="126"/>
      <c r="I188" s="21" t="s">
        <v>160</v>
      </c>
      <c r="J188" s="84" t="s">
        <v>710</v>
      </c>
      <c r="K188" s="130"/>
      <c r="L188" s="130"/>
      <c r="M188" s="130"/>
      <c r="N188" s="130" t="s">
        <v>699</v>
      </c>
      <c r="O188" s="130" t="s">
        <v>699</v>
      </c>
      <c r="P188" s="130"/>
      <c r="Q188" s="130"/>
      <c r="R188" s="130"/>
      <c r="S188" s="130"/>
      <c r="T188" s="130"/>
      <c r="U188" s="130"/>
      <c r="V188" s="132" t="s">
        <v>86</v>
      </c>
    </row>
    <row r="189" spans="1:22" ht="28.8" x14ac:dyDescent="0.3">
      <c r="A189" s="117" t="s">
        <v>546</v>
      </c>
      <c r="B189" s="116" t="s">
        <v>461</v>
      </c>
      <c r="C189" s="157"/>
      <c r="D189" s="158"/>
      <c r="E189" s="158"/>
      <c r="F189" s="158"/>
      <c r="G189" s="158"/>
      <c r="H189" s="158"/>
      <c r="I189" s="158"/>
      <c r="J189" s="158"/>
      <c r="K189" s="158"/>
      <c r="L189" s="158"/>
      <c r="M189" s="158"/>
      <c r="N189" s="158"/>
      <c r="O189" s="158"/>
      <c r="P189" s="158"/>
      <c r="Q189" s="158"/>
      <c r="R189" s="158"/>
      <c r="S189" s="158"/>
      <c r="T189" s="158"/>
      <c r="U189" s="158"/>
      <c r="V189" s="159"/>
    </row>
    <row r="190" spans="1:22" ht="30" x14ac:dyDescent="0.3">
      <c r="A190" s="125" t="s">
        <v>547</v>
      </c>
      <c r="B190" s="129" t="s">
        <v>371</v>
      </c>
      <c r="C190" s="129" t="s">
        <v>625</v>
      </c>
      <c r="D190" s="133" t="s">
        <v>278</v>
      </c>
      <c r="E190" s="13"/>
      <c r="F190" s="126"/>
      <c r="G190" s="126"/>
      <c r="H190" s="126"/>
      <c r="I190" s="21" t="s">
        <v>160</v>
      </c>
      <c r="J190" s="84" t="s">
        <v>710</v>
      </c>
      <c r="K190" s="130"/>
      <c r="L190" s="130"/>
      <c r="M190" s="130" t="s">
        <v>699</v>
      </c>
      <c r="N190" s="130" t="s">
        <v>699</v>
      </c>
      <c r="O190" s="130" t="s">
        <v>699</v>
      </c>
      <c r="P190" s="130"/>
      <c r="Q190" s="130"/>
      <c r="R190" s="130"/>
      <c r="S190" s="130"/>
      <c r="T190" s="130"/>
      <c r="U190" s="130"/>
      <c r="V190" s="132" t="s">
        <v>86</v>
      </c>
    </row>
    <row r="191" spans="1:22" ht="28.8" x14ac:dyDescent="0.3">
      <c r="A191" s="117" t="s">
        <v>548</v>
      </c>
      <c r="B191" s="116" t="s">
        <v>462</v>
      </c>
      <c r="C191" s="157"/>
      <c r="D191" s="158"/>
      <c r="E191" s="158"/>
      <c r="F191" s="158"/>
      <c r="G191" s="158"/>
      <c r="H191" s="158"/>
      <c r="I191" s="158"/>
      <c r="J191" s="158"/>
      <c r="K191" s="158"/>
      <c r="L191" s="158"/>
      <c r="M191" s="158"/>
      <c r="N191" s="158"/>
      <c r="O191" s="158"/>
      <c r="P191" s="158"/>
      <c r="Q191" s="158"/>
      <c r="R191" s="158"/>
      <c r="S191" s="158"/>
      <c r="T191" s="158"/>
      <c r="U191" s="158"/>
      <c r="V191" s="159"/>
    </row>
    <row r="192" spans="1:22" ht="39.6" x14ac:dyDescent="0.3">
      <c r="A192" s="125" t="s">
        <v>549</v>
      </c>
      <c r="B192" s="129" t="s">
        <v>372</v>
      </c>
      <c r="C192" s="129" t="s">
        <v>646</v>
      </c>
      <c r="D192" s="133" t="s">
        <v>278</v>
      </c>
      <c r="E192" s="13"/>
      <c r="F192" s="126"/>
      <c r="G192" s="126"/>
      <c r="H192" s="126"/>
      <c r="I192" s="21" t="s">
        <v>160</v>
      </c>
      <c r="J192" s="84" t="s">
        <v>710</v>
      </c>
      <c r="K192" s="130"/>
      <c r="L192" s="130"/>
      <c r="M192" s="130" t="s">
        <v>699</v>
      </c>
      <c r="N192" s="130"/>
      <c r="O192" s="130"/>
      <c r="P192" s="130" t="s">
        <v>699</v>
      </c>
      <c r="Q192" s="130"/>
      <c r="R192" s="130"/>
      <c r="S192" s="130"/>
      <c r="T192" s="130"/>
      <c r="U192" s="130"/>
      <c r="V192" s="132" t="s">
        <v>86</v>
      </c>
    </row>
    <row r="193" spans="1:22" ht="15" x14ac:dyDescent="0.3">
      <c r="A193" s="118"/>
      <c r="B193" s="18"/>
      <c r="C193" s="18"/>
      <c r="D193" s="18"/>
      <c r="E193" s="18"/>
      <c r="F193" s="18"/>
      <c r="G193" s="22"/>
      <c r="H193" s="22"/>
      <c r="I193" s="1"/>
      <c r="J193" s="140"/>
      <c r="K193" s="1"/>
      <c r="L193" s="1"/>
      <c r="M193" s="1"/>
      <c r="N193" s="1"/>
      <c r="O193" s="1"/>
      <c r="P193" s="1"/>
      <c r="Q193" s="1"/>
      <c r="R193" s="1"/>
      <c r="S193" s="1"/>
      <c r="T193" s="1"/>
      <c r="U193" s="1"/>
      <c r="V193" s="1"/>
    </row>
    <row r="194" spans="1:22" ht="15" x14ac:dyDescent="0.3">
      <c r="A194" s="118"/>
      <c r="B194" s="18"/>
      <c r="C194" s="24" t="s">
        <v>83</v>
      </c>
      <c r="D194" s="21" t="s">
        <v>84</v>
      </c>
      <c r="E194" s="18"/>
      <c r="F194" s="18"/>
      <c r="G194" s="18"/>
      <c r="H194" s="24" t="s">
        <v>83</v>
      </c>
      <c r="I194" s="21" t="s">
        <v>84</v>
      </c>
      <c r="K194" s="1"/>
      <c r="L194" s="1"/>
      <c r="M194" s="1"/>
      <c r="N194" s="1"/>
      <c r="O194" s="1"/>
      <c r="P194" s="1"/>
      <c r="Q194" s="1"/>
      <c r="R194" s="1"/>
      <c r="S194" s="1"/>
      <c r="T194" s="1"/>
      <c r="U194" s="1"/>
      <c r="V194" s="1"/>
    </row>
    <row r="195" spans="1:22" ht="15" x14ac:dyDescent="0.3">
      <c r="A195" s="118"/>
      <c r="B195" s="18"/>
      <c r="C195" s="123"/>
      <c r="D195" s="124">
        <f>93-D196-D197</f>
        <v>0</v>
      </c>
      <c r="E195" s="18"/>
      <c r="F195" s="18"/>
      <c r="G195" s="18"/>
      <c r="H195" s="24"/>
      <c r="I195" s="21">
        <f>93-SUM(I196:I200)</f>
        <v>0</v>
      </c>
      <c r="K195" s="1"/>
      <c r="L195" s="1"/>
      <c r="M195" s="1"/>
      <c r="N195" s="1"/>
      <c r="O195" s="1"/>
      <c r="P195" s="1"/>
      <c r="Q195" s="1"/>
      <c r="R195" s="1"/>
      <c r="S195" s="1"/>
      <c r="T195" s="1"/>
      <c r="U195" s="1"/>
      <c r="V195" s="1"/>
    </row>
    <row r="196" spans="1:22" ht="15" x14ac:dyDescent="0.3">
      <c r="A196" s="118"/>
      <c r="B196" s="18"/>
      <c r="C196" s="119" t="s">
        <v>278</v>
      </c>
      <c r="D196" s="120">
        <f>COUNTIF($D$3:$D$192,C196)</f>
        <v>93</v>
      </c>
      <c r="E196" s="18"/>
      <c r="F196" s="18"/>
      <c r="G196" s="18"/>
      <c r="H196" s="24" t="s">
        <v>160</v>
      </c>
      <c r="I196" s="21">
        <f t="shared" ref="I196:I200" si="0">COUNTIF($I$3:$I$192,H196)</f>
        <v>88</v>
      </c>
      <c r="K196" s="1"/>
      <c r="L196" s="1"/>
      <c r="M196" s="1"/>
      <c r="N196" s="1"/>
      <c r="O196" s="1"/>
      <c r="P196" s="1"/>
      <c r="Q196" s="1"/>
      <c r="R196" s="1"/>
      <c r="S196" s="1"/>
      <c r="T196" s="1"/>
      <c r="U196" s="1"/>
      <c r="V196" s="1"/>
    </row>
    <row r="197" spans="1:22" ht="15" x14ac:dyDescent="0.3">
      <c r="A197" s="118"/>
      <c r="B197" s="18"/>
      <c r="C197" s="121" t="s">
        <v>471</v>
      </c>
      <c r="D197" s="122">
        <f>COUNTIF($D$3:$D$192,C197)</f>
        <v>0</v>
      </c>
      <c r="E197" s="18"/>
      <c r="F197" s="18"/>
      <c r="G197" s="18"/>
      <c r="H197" s="25" t="s">
        <v>77</v>
      </c>
      <c r="I197" s="26">
        <f t="shared" si="0"/>
        <v>1</v>
      </c>
      <c r="K197" s="1"/>
      <c r="L197" s="1"/>
      <c r="M197" s="1"/>
      <c r="N197" s="1"/>
      <c r="O197" s="1"/>
      <c r="P197" s="1"/>
      <c r="Q197" s="1"/>
      <c r="R197" s="1"/>
      <c r="S197" s="1"/>
      <c r="T197" s="1"/>
      <c r="U197" s="1"/>
      <c r="V197" s="1"/>
    </row>
    <row r="198" spans="1:22" ht="15" x14ac:dyDescent="0.3">
      <c r="A198" s="118"/>
      <c r="B198" s="18"/>
      <c r="C198" s="18"/>
      <c r="D198" s="18"/>
      <c r="E198" s="18"/>
      <c r="F198" s="18"/>
      <c r="G198" s="18"/>
      <c r="H198" s="27" t="s">
        <v>78</v>
      </c>
      <c r="I198" s="28">
        <f t="shared" si="0"/>
        <v>1</v>
      </c>
      <c r="K198" s="1"/>
      <c r="L198" s="1"/>
      <c r="M198" s="1"/>
      <c r="N198" s="1"/>
      <c r="O198" s="1"/>
      <c r="P198" s="1"/>
      <c r="Q198" s="1"/>
      <c r="R198" s="1"/>
      <c r="S198" s="1"/>
      <c r="T198" s="1"/>
      <c r="U198" s="1"/>
      <c r="V198" s="1"/>
    </row>
    <row r="199" spans="1:22" ht="15" x14ac:dyDescent="0.3">
      <c r="A199" s="118"/>
      <c r="B199" s="18"/>
      <c r="C199" s="18"/>
      <c r="D199" s="18"/>
      <c r="E199" s="18"/>
      <c r="F199" s="18"/>
      <c r="G199" s="18"/>
      <c r="H199" s="29" t="s">
        <v>82</v>
      </c>
      <c r="I199" s="30">
        <f t="shared" si="0"/>
        <v>1</v>
      </c>
      <c r="K199" s="1"/>
      <c r="L199" s="1"/>
      <c r="M199" s="1"/>
      <c r="N199" s="1"/>
      <c r="O199" s="1"/>
      <c r="P199" s="1"/>
      <c r="Q199" s="1"/>
      <c r="R199" s="1"/>
      <c r="S199" s="1"/>
      <c r="T199" s="1"/>
      <c r="U199" s="1"/>
      <c r="V199" s="1"/>
    </row>
    <row r="200" spans="1:22" ht="15" x14ac:dyDescent="0.3">
      <c r="A200" s="118"/>
      <c r="B200" s="18"/>
      <c r="C200" s="18"/>
      <c r="D200" s="18"/>
      <c r="E200" s="18"/>
      <c r="F200" s="18"/>
      <c r="G200" s="18"/>
      <c r="H200" s="31" t="s">
        <v>81</v>
      </c>
      <c r="I200" s="32">
        <f t="shared" si="0"/>
        <v>2</v>
      </c>
      <c r="K200" s="1"/>
      <c r="L200" s="1"/>
      <c r="M200" s="1"/>
      <c r="N200" s="1"/>
      <c r="O200" s="1"/>
      <c r="P200" s="1"/>
      <c r="Q200" s="1"/>
      <c r="R200" s="1"/>
      <c r="S200" s="1"/>
      <c r="T200" s="1"/>
      <c r="U200" s="1"/>
      <c r="V200" s="1"/>
    </row>
    <row r="201" spans="1:22" ht="15" x14ac:dyDescent="0.3">
      <c r="A201" s="118"/>
      <c r="B201" s="18"/>
      <c r="C201" s="18"/>
      <c r="D201" s="18"/>
      <c r="E201" s="18"/>
      <c r="F201" s="18"/>
      <c r="G201" s="22"/>
      <c r="H201" s="22"/>
      <c r="I201" s="1"/>
      <c r="J201" s="140"/>
      <c r="K201" s="1"/>
      <c r="L201" s="1"/>
      <c r="M201" s="1"/>
      <c r="N201" s="1"/>
      <c r="O201" s="1"/>
      <c r="P201" s="1"/>
      <c r="Q201" s="1"/>
      <c r="R201" s="1"/>
      <c r="S201" s="1"/>
      <c r="T201" s="1"/>
      <c r="U201" s="1"/>
      <c r="V201" s="1"/>
    </row>
  </sheetData>
  <autoFilter ref="A2:V192" xr:uid="{58DF91CF-F6FE-4C2B-A433-0262CC921579}"/>
  <mergeCells count="98">
    <mergeCell ref="C189:V189"/>
    <mergeCell ref="C191:V191"/>
    <mergeCell ref="C177:V177"/>
    <mergeCell ref="C179:V179"/>
    <mergeCell ref="C181:V181"/>
    <mergeCell ref="C183:V183"/>
    <mergeCell ref="C185:V185"/>
    <mergeCell ref="C187:V187"/>
    <mergeCell ref="C175:V175"/>
    <mergeCell ref="C153:V153"/>
    <mergeCell ref="C155:V155"/>
    <mergeCell ref="C157:V157"/>
    <mergeCell ref="C159:V159"/>
    <mergeCell ref="C161:V161"/>
    <mergeCell ref="C163:V163"/>
    <mergeCell ref="C165:V165"/>
    <mergeCell ref="C167:V167"/>
    <mergeCell ref="C169:V169"/>
    <mergeCell ref="C171:V171"/>
    <mergeCell ref="C173:V173"/>
    <mergeCell ref="C151:V151"/>
    <mergeCell ref="C129:V129"/>
    <mergeCell ref="C131:V131"/>
    <mergeCell ref="C133:V133"/>
    <mergeCell ref="C135:V135"/>
    <mergeCell ref="C137:V137"/>
    <mergeCell ref="C139:V139"/>
    <mergeCell ref="C141:V141"/>
    <mergeCell ref="C143:V143"/>
    <mergeCell ref="C145:V145"/>
    <mergeCell ref="C147:V147"/>
    <mergeCell ref="C149:V149"/>
    <mergeCell ref="C127:V127"/>
    <mergeCell ref="C106:V106"/>
    <mergeCell ref="C108:V108"/>
    <mergeCell ref="C110:V110"/>
    <mergeCell ref="C112:V112"/>
    <mergeCell ref="C114:V114"/>
    <mergeCell ref="C116:V116"/>
    <mergeCell ref="C118:V118"/>
    <mergeCell ref="C120:V120"/>
    <mergeCell ref="C122:V122"/>
    <mergeCell ref="C124:V124"/>
    <mergeCell ref="C125:V125"/>
    <mergeCell ref="C104:V104"/>
    <mergeCell ref="C83:V83"/>
    <mergeCell ref="C85:V85"/>
    <mergeCell ref="C87:V87"/>
    <mergeCell ref="C89:V89"/>
    <mergeCell ref="C91:V91"/>
    <mergeCell ref="C93:V93"/>
    <mergeCell ref="C95:V95"/>
    <mergeCell ref="C96:V96"/>
    <mergeCell ref="C98:V98"/>
    <mergeCell ref="C100:V100"/>
    <mergeCell ref="C102:V102"/>
    <mergeCell ref="C81:V81"/>
    <mergeCell ref="C60:V60"/>
    <mergeCell ref="C62:V62"/>
    <mergeCell ref="C64:V64"/>
    <mergeCell ref="C66:V66"/>
    <mergeCell ref="C68:V68"/>
    <mergeCell ref="C70:V70"/>
    <mergeCell ref="C72:V72"/>
    <mergeCell ref="C74:V74"/>
    <mergeCell ref="C76:V76"/>
    <mergeCell ref="C78:V78"/>
    <mergeCell ref="C79:V79"/>
    <mergeCell ref="C58:V58"/>
    <mergeCell ref="C36:V36"/>
    <mergeCell ref="C38:V38"/>
    <mergeCell ref="C40:V40"/>
    <mergeCell ref="C42:V42"/>
    <mergeCell ref="C44:V44"/>
    <mergeCell ref="C46:V46"/>
    <mergeCell ref="C48:V48"/>
    <mergeCell ref="C50:V50"/>
    <mergeCell ref="C52:V52"/>
    <mergeCell ref="C54:V54"/>
    <mergeCell ref="C56:V56"/>
    <mergeCell ref="C34:V34"/>
    <mergeCell ref="C12:V12"/>
    <mergeCell ref="C14:V14"/>
    <mergeCell ref="C16:V16"/>
    <mergeCell ref="C18:V18"/>
    <mergeCell ref="C20:V20"/>
    <mergeCell ref="C22:V22"/>
    <mergeCell ref="C24:V24"/>
    <mergeCell ref="C26:V26"/>
    <mergeCell ref="C28:V28"/>
    <mergeCell ref="C30:V30"/>
    <mergeCell ref="C32:V32"/>
    <mergeCell ref="C10:V10"/>
    <mergeCell ref="K1:U1"/>
    <mergeCell ref="C3:V3"/>
    <mergeCell ref="C4:V4"/>
    <mergeCell ref="C6:V6"/>
    <mergeCell ref="C8:V8"/>
  </mergeCells>
  <conditionalFormatting sqref="C193 C198:C201">
    <cfRule type="cellIs" dxfId="573" priority="564" operator="equal">
      <formula>"Included"</formula>
    </cfRule>
    <cfRule type="cellIs" dxfId="572" priority="563" operator="equal">
      <formula>"Excluded"</formula>
    </cfRule>
  </conditionalFormatting>
  <conditionalFormatting sqref="C1:D1">
    <cfRule type="cellIs" dxfId="571" priority="570" operator="equal">
      <formula>"Included"</formula>
    </cfRule>
    <cfRule type="cellIs" dxfId="570" priority="569" operator="equal">
      <formula>"Excluded"</formula>
    </cfRule>
  </conditionalFormatting>
  <conditionalFormatting sqref="D5">
    <cfRule type="cellIs" dxfId="569" priority="487" operator="equal">
      <formula>"Included"</formula>
    </cfRule>
    <cfRule type="cellIs" dxfId="568" priority="488" operator="equal">
      <formula>"Excluded"</formula>
    </cfRule>
  </conditionalFormatting>
  <conditionalFormatting sqref="D7">
    <cfRule type="cellIs" dxfId="567" priority="486" operator="equal">
      <formula>"Excluded"</formula>
    </cfRule>
    <cfRule type="cellIs" dxfId="566" priority="485" operator="equal">
      <formula>"Included"</formula>
    </cfRule>
  </conditionalFormatting>
  <conditionalFormatting sqref="D9">
    <cfRule type="cellIs" dxfId="565" priority="483" operator="equal">
      <formula>"Included"</formula>
    </cfRule>
    <cfRule type="cellIs" dxfId="564" priority="484" operator="equal">
      <formula>"Excluded"</formula>
    </cfRule>
  </conditionalFormatting>
  <conditionalFormatting sqref="D11">
    <cfRule type="cellIs" dxfId="563" priority="481" operator="equal">
      <formula>"Included"</formula>
    </cfRule>
    <cfRule type="cellIs" dxfId="562" priority="482" operator="equal">
      <formula>"Excluded"</formula>
    </cfRule>
  </conditionalFormatting>
  <conditionalFormatting sqref="D13">
    <cfRule type="cellIs" dxfId="561" priority="480" operator="equal">
      <formula>"Excluded"</formula>
    </cfRule>
    <cfRule type="cellIs" dxfId="560" priority="479" operator="equal">
      <formula>"Included"</formula>
    </cfRule>
  </conditionalFormatting>
  <conditionalFormatting sqref="D15">
    <cfRule type="cellIs" dxfId="559" priority="478" operator="equal">
      <formula>"Excluded"</formula>
    </cfRule>
    <cfRule type="cellIs" dxfId="558" priority="477" operator="equal">
      <formula>"Included"</formula>
    </cfRule>
  </conditionalFormatting>
  <conditionalFormatting sqref="D17">
    <cfRule type="cellIs" dxfId="557" priority="476" operator="equal">
      <formula>"Excluded"</formula>
    </cfRule>
    <cfRule type="cellIs" dxfId="556" priority="475" operator="equal">
      <formula>"Included"</formula>
    </cfRule>
  </conditionalFormatting>
  <conditionalFormatting sqref="D19">
    <cfRule type="cellIs" dxfId="555" priority="474" operator="equal">
      <formula>"Excluded"</formula>
    </cfRule>
    <cfRule type="cellIs" dxfId="554" priority="473" operator="equal">
      <formula>"Included"</formula>
    </cfRule>
  </conditionalFormatting>
  <conditionalFormatting sqref="D21">
    <cfRule type="cellIs" dxfId="553" priority="471" operator="equal">
      <formula>"Included"</formula>
    </cfRule>
    <cfRule type="cellIs" dxfId="552" priority="472" operator="equal">
      <formula>"Excluded"</formula>
    </cfRule>
  </conditionalFormatting>
  <conditionalFormatting sqref="D23">
    <cfRule type="cellIs" dxfId="551" priority="469" operator="equal">
      <formula>"Included"</formula>
    </cfRule>
    <cfRule type="cellIs" dxfId="550" priority="470" operator="equal">
      <formula>"Excluded"</formula>
    </cfRule>
  </conditionalFormatting>
  <conditionalFormatting sqref="D25">
    <cfRule type="cellIs" dxfId="549" priority="468" operator="equal">
      <formula>"Excluded"</formula>
    </cfRule>
    <cfRule type="cellIs" dxfId="548" priority="467" operator="equal">
      <formula>"Included"</formula>
    </cfRule>
  </conditionalFormatting>
  <conditionalFormatting sqref="D27">
    <cfRule type="cellIs" dxfId="547" priority="465" operator="equal">
      <formula>"Included"</formula>
    </cfRule>
    <cfRule type="cellIs" dxfId="546" priority="466" operator="equal">
      <formula>"Excluded"</formula>
    </cfRule>
  </conditionalFormatting>
  <conditionalFormatting sqref="D29">
    <cfRule type="cellIs" dxfId="545" priority="464" operator="equal">
      <formula>"Excluded"</formula>
    </cfRule>
    <cfRule type="cellIs" dxfId="544" priority="463" operator="equal">
      <formula>"Included"</formula>
    </cfRule>
  </conditionalFormatting>
  <conditionalFormatting sqref="D31">
    <cfRule type="cellIs" dxfId="543" priority="461" operator="equal">
      <formula>"Included"</formula>
    </cfRule>
    <cfRule type="cellIs" dxfId="542" priority="462" operator="equal">
      <formula>"Excluded"</formula>
    </cfRule>
  </conditionalFormatting>
  <conditionalFormatting sqref="D33">
    <cfRule type="cellIs" dxfId="541" priority="459" operator="equal">
      <formula>"Included"</formula>
    </cfRule>
    <cfRule type="cellIs" dxfId="540" priority="460" operator="equal">
      <formula>"Excluded"</formula>
    </cfRule>
  </conditionalFormatting>
  <conditionalFormatting sqref="D35">
    <cfRule type="cellIs" dxfId="539" priority="458" operator="equal">
      <formula>"Excluded"</formula>
    </cfRule>
    <cfRule type="cellIs" dxfId="538" priority="457" operator="equal">
      <formula>"Included"</formula>
    </cfRule>
  </conditionalFormatting>
  <conditionalFormatting sqref="D37">
    <cfRule type="cellIs" dxfId="537" priority="455" operator="equal">
      <formula>"Included"</formula>
    </cfRule>
    <cfRule type="cellIs" dxfId="536" priority="456" operator="equal">
      <formula>"Excluded"</formula>
    </cfRule>
  </conditionalFormatting>
  <conditionalFormatting sqref="D39">
    <cfRule type="cellIs" dxfId="535" priority="454" operator="equal">
      <formula>"Excluded"</formula>
    </cfRule>
    <cfRule type="cellIs" dxfId="534" priority="453" operator="equal">
      <formula>"Included"</formula>
    </cfRule>
  </conditionalFormatting>
  <conditionalFormatting sqref="D41">
    <cfRule type="cellIs" dxfId="533" priority="452" operator="equal">
      <formula>"Excluded"</formula>
    </cfRule>
    <cfRule type="cellIs" dxfId="532" priority="451" operator="equal">
      <formula>"Included"</formula>
    </cfRule>
  </conditionalFormatting>
  <conditionalFormatting sqref="D43">
    <cfRule type="cellIs" dxfId="531" priority="450" operator="equal">
      <formula>"Excluded"</formula>
    </cfRule>
    <cfRule type="cellIs" dxfId="530" priority="449" operator="equal">
      <formula>"Included"</formula>
    </cfRule>
  </conditionalFormatting>
  <conditionalFormatting sqref="D45">
    <cfRule type="cellIs" dxfId="529" priority="448" operator="equal">
      <formula>"Excluded"</formula>
    </cfRule>
    <cfRule type="cellIs" dxfId="528" priority="447" operator="equal">
      <formula>"Included"</formula>
    </cfRule>
  </conditionalFormatting>
  <conditionalFormatting sqref="D47">
    <cfRule type="cellIs" dxfId="527" priority="446" operator="equal">
      <formula>"Excluded"</formula>
    </cfRule>
    <cfRule type="cellIs" dxfId="526" priority="445" operator="equal">
      <formula>"Included"</formula>
    </cfRule>
  </conditionalFormatting>
  <conditionalFormatting sqref="D49">
    <cfRule type="cellIs" dxfId="525" priority="443" operator="equal">
      <formula>"Included"</formula>
    </cfRule>
    <cfRule type="cellIs" dxfId="524" priority="444" operator="equal">
      <formula>"Excluded"</formula>
    </cfRule>
  </conditionalFormatting>
  <conditionalFormatting sqref="D51">
    <cfRule type="cellIs" dxfId="523" priority="442" operator="equal">
      <formula>"Excluded"</formula>
    </cfRule>
    <cfRule type="cellIs" dxfId="522" priority="441" operator="equal">
      <formula>"Included"</formula>
    </cfRule>
  </conditionalFormatting>
  <conditionalFormatting sqref="D53">
    <cfRule type="cellIs" dxfId="521" priority="440" operator="equal">
      <formula>"Excluded"</formula>
    </cfRule>
    <cfRule type="cellIs" dxfId="520" priority="439" operator="equal">
      <formula>"Included"</formula>
    </cfRule>
  </conditionalFormatting>
  <conditionalFormatting sqref="D55">
    <cfRule type="cellIs" dxfId="519" priority="438" operator="equal">
      <formula>"Excluded"</formula>
    </cfRule>
    <cfRule type="cellIs" dxfId="518" priority="437" operator="equal">
      <formula>"Included"</formula>
    </cfRule>
  </conditionalFormatting>
  <conditionalFormatting sqref="D57">
    <cfRule type="cellIs" dxfId="517" priority="436" operator="equal">
      <formula>"Excluded"</formula>
    </cfRule>
    <cfRule type="cellIs" dxfId="516" priority="435" operator="equal">
      <formula>"Included"</formula>
    </cfRule>
  </conditionalFormatting>
  <conditionalFormatting sqref="D59">
    <cfRule type="cellIs" dxfId="515" priority="434" operator="equal">
      <formula>"Excluded"</formula>
    </cfRule>
    <cfRule type="cellIs" dxfId="514" priority="433" operator="equal">
      <formula>"Included"</formula>
    </cfRule>
  </conditionalFormatting>
  <conditionalFormatting sqref="D61">
    <cfRule type="cellIs" dxfId="513" priority="431" operator="equal">
      <formula>"Included"</formula>
    </cfRule>
    <cfRule type="cellIs" dxfId="512" priority="432" operator="equal">
      <formula>"Excluded"</formula>
    </cfRule>
  </conditionalFormatting>
  <conditionalFormatting sqref="D63">
    <cfRule type="cellIs" dxfId="511" priority="430" operator="equal">
      <formula>"Excluded"</formula>
    </cfRule>
    <cfRule type="cellIs" dxfId="510" priority="429" operator="equal">
      <formula>"Included"</formula>
    </cfRule>
  </conditionalFormatting>
  <conditionalFormatting sqref="D65">
    <cfRule type="cellIs" dxfId="509" priority="428" operator="equal">
      <formula>"Excluded"</formula>
    </cfRule>
    <cfRule type="cellIs" dxfId="508" priority="427" operator="equal">
      <formula>"Included"</formula>
    </cfRule>
  </conditionalFormatting>
  <conditionalFormatting sqref="D67">
    <cfRule type="cellIs" dxfId="507" priority="425" operator="equal">
      <formula>"Included"</formula>
    </cfRule>
    <cfRule type="cellIs" dxfId="506" priority="426" operator="equal">
      <formula>"Excluded"</formula>
    </cfRule>
  </conditionalFormatting>
  <conditionalFormatting sqref="D69">
    <cfRule type="cellIs" dxfId="505" priority="423" operator="equal">
      <formula>"Included"</formula>
    </cfRule>
    <cfRule type="cellIs" dxfId="504" priority="424" operator="equal">
      <formula>"Excluded"</formula>
    </cfRule>
  </conditionalFormatting>
  <conditionalFormatting sqref="D71">
    <cfRule type="cellIs" dxfId="503" priority="421" operator="equal">
      <formula>"Included"</formula>
    </cfRule>
    <cfRule type="cellIs" dxfId="502" priority="422" operator="equal">
      <formula>"Excluded"</formula>
    </cfRule>
  </conditionalFormatting>
  <conditionalFormatting sqref="D73">
    <cfRule type="cellIs" dxfId="501" priority="420" operator="equal">
      <formula>"Excluded"</formula>
    </cfRule>
    <cfRule type="cellIs" dxfId="500" priority="419" operator="equal">
      <formula>"Included"</formula>
    </cfRule>
  </conditionalFormatting>
  <conditionalFormatting sqref="D75">
    <cfRule type="cellIs" dxfId="499" priority="418" operator="equal">
      <formula>"Excluded"</formula>
    </cfRule>
    <cfRule type="cellIs" dxfId="498" priority="417" operator="equal">
      <formula>"Included"</formula>
    </cfRule>
  </conditionalFormatting>
  <conditionalFormatting sqref="D77">
    <cfRule type="cellIs" dxfId="497" priority="415" operator="equal">
      <formula>"Included"</formula>
    </cfRule>
    <cfRule type="cellIs" dxfId="496" priority="416" operator="equal">
      <formula>"Excluded"</formula>
    </cfRule>
  </conditionalFormatting>
  <conditionalFormatting sqref="D80">
    <cfRule type="cellIs" dxfId="495" priority="413" operator="equal">
      <formula>"Included"</formula>
    </cfRule>
    <cfRule type="cellIs" dxfId="494" priority="414" operator="equal">
      <formula>"Excluded"</formula>
    </cfRule>
  </conditionalFormatting>
  <conditionalFormatting sqref="D82">
    <cfRule type="cellIs" dxfId="493" priority="411" operator="equal">
      <formula>"Included"</formula>
    </cfRule>
    <cfRule type="cellIs" dxfId="492" priority="412" operator="equal">
      <formula>"Excluded"</formula>
    </cfRule>
  </conditionalFormatting>
  <conditionalFormatting sqref="D84">
    <cfRule type="cellIs" dxfId="491" priority="410" operator="equal">
      <formula>"Excluded"</formula>
    </cfRule>
    <cfRule type="cellIs" dxfId="490" priority="409" operator="equal">
      <formula>"Included"</formula>
    </cfRule>
  </conditionalFormatting>
  <conditionalFormatting sqref="D86">
    <cfRule type="cellIs" dxfId="489" priority="408" operator="equal">
      <formula>"Excluded"</formula>
    </cfRule>
    <cfRule type="cellIs" dxfId="488" priority="407" operator="equal">
      <formula>"Included"</formula>
    </cfRule>
  </conditionalFormatting>
  <conditionalFormatting sqref="D88">
    <cfRule type="cellIs" dxfId="487" priority="406" operator="equal">
      <formula>"Excluded"</formula>
    </cfRule>
    <cfRule type="cellIs" dxfId="486" priority="405" operator="equal">
      <formula>"Included"</formula>
    </cfRule>
  </conditionalFormatting>
  <conditionalFormatting sqref="D90">
    <cfRule type="cellIs" dxfId="485" priority="403" operator="equal">
      <formula>"Included"</formula>
    </cfRule>
    <cfRule type="cellIs" dxfId="484" priority="404" operator="equal">
      <formula>"Excluded"</formula>
    </cfRule>
  </conditionalFormatting>
  <conditionalFormatting sqref="D92">
    <cfRule type="cellIs" dxfId="483" priority="401" operator="equal">
      <formula>"Included"</formula>
    </cfRule>
    <cfRule type="cellIs" dxfId="482" priority="402" operator="equal">
      <formula>"Excluded"</formula>
    </cfRule>
  </conditionalFormatting>
  <conditionalFormatting sqref="D94">
    <cfRule type="cellIs" dxfId="481" priority="399" operator="equal">
      <formula>"Included"</formula>
    </cfRule>
    <cfRule type="cellIs" dxfId="480" priority="400" operator="equal">
      <formula>"Excluded"</formula>
    </cfRule>
  </conditionalFormatting>
  <conditionalFormatting sqref="D97">
    <cfRule type="cellIs" dxfId="479" priority="397" operator="equal">
      <formula>"Included"</formula>
    </cfRule>
    <cfRule type="cellIs" dxfId="478" priority="398" operator="equal">
      <formula>"Excluded"</formula>
    </cfRule>
  </conditionalFormatting>
  <conditionalFormatting sqref="D99">
    <cfRule type="cellIs" dxfId="477" priority="395" operator="equal">
      <formula>"Included"</formula>
    </cfRule>
    <cfRule type="cellIs" dxfId="476" priority="396" operator="equal">
      <formula>"Excluded"</formula>
    </cfRule>
  </conditionalFormatting>
  <conditionalFormatting sqref="D101">
    <cfRule type="cellIs" dxfId="475" priority="394" operator="equal">
      <formula>"Excluded"</formula>
    </cfRule>
    <cfRule type="cellIs" dxfId="474" priority="393" operator="equal">
      <formula>"Included"</formula>
    </cfRule>
  </conditionalFormatting>
  <conditionalFormatting sqref="D103">
    <cfRule type="cellIs" dxfId="473" priority="391" operator="equal">
      <formula>"Included"</formula>
    </cfRule>
    <cfRule type="cellIs" dxfId="472" priority="392" operator="equal">
      <formula>"Excluded"</formula>
    </cfRule>
  </conditionalFormatting>
  <conditionalFormatting sqref="D105">
    <cfRule type="cellIs" dxfId="471" priority="389" operator="equal">
      <formula>"Included"</formula>
    </cfRule>
    <cfRule type="cellIs" dxfId="470" priority="390" operator="equal">
      <formula>"Excluded"</formula>
    </cfRule>
  </conditionalFormatting>
  <conditionalFormatting sqref="D107">
    <cfRule type="cellIs" dxfId="469" priority="387" operator="equal">
      <formula>"Included"</formula>
    </cfRule>
    <cfRule type="cellIs" dxfId="468" priority="388" operator="equal">
      <formula>"Excluded"</formula>
    </cfRule>
  </conditionalFormatting>
  <conditionalFormatting sqref="D109">
    <cfRule type="cellIs" dxfId="467" priority="385" operator="equal">
      <formula>"Included"</formula>
    </cfRule>
    <cfRule type="cellIs" dxfId="466" priority="386" operator="equal">
      <formula>"Excluded"</formula>
    </cfRule>
  </conditionalFormatting>
  <conditionalFormatting sqref="D111">
    <cfRule type="cellIs" dxfId="465" priority="384" operator="equal">
      <formula>"Excluded"</formula>
    </cfRule>
    <cfRule type="cellIs" dxfId="464" priority="383" operator="equal">
      <formula>"Included"</formula>
    </cfRule>
  </conditionalFormatting>
  <conditionalFormatting sqref="D113">
    <cfRule type="cellIs" dxfId="463" priority="382" operator="equal">
      <formula>"Excluded"</formula>
    </cfRule>
    <cfRule type="cellIs" dxfId="462" priority="381" operator="equal">
      <formula>"Included"</formula>
    </cfRule>
  </conditionalFormatting>
  <conditionalFormatting sqref="D115">
    <cfRule type="cellIs" dxfId="461" priority="380" operator="equal">
      <formula>"Excluded"</formula>
    </cfRule>
    <cfRule type="cellIs" dxfId="460" priority="379" operator="equal">
      <formula>"Included"</formula>
    </cfRule>
  </conditionalFormatting>
  <conditionalFormatting sqref="D117">
    <cfRule type="cellIs" dxfId="459" priority="378" operator="equal">
      <formula>"Excluded"</formula>
    </cfRule>
    <cfRule type="cellIs" dxfId="458" priority="377" operator="equal">
      <formula>"Included"</formula>
    </cfRule>
  </conditionalFormatting>
  <conditionalFormatting sqref="D119">
    <cfRule type="cellIs" dxfId="457" priority="375" operator="equal">
      <formula>"Included"</formula>
    </cfRule>
    <cfRule type="cellIs" dxfId="456" priority="376" operator="equal">
      <formula>"Excluded"</formula>
    </cfRule>
  </conditionalFormatting>
  <conditionalFormatting sqref="D121">
    <cfRule type="cellIs" dxfId="455" priority="562" operator="equal">
      <formula>"Excluded"</formula>
    </cfRule>
    <cfRule type="cellIs" dxfId="454" priority="561" operator="equal">
      <formula>"Included"</formula>
    </cfRule>
  </conditionalFormatting>
  <conditionalFormatting sqref="D123">
    <cfRule type="cellIs" dxfId="453" priority="560" operator="equal">
      <formula>"Excluded"</formula>
    </cfRule>
    <cfRule type="cellIs" dxfId="452" priority="559" operator="equal">
      <formula>"Included"</formula>
    </cfRule>
  </conditionalFormatting>
  <conditionalFormatting sqref="D126">
    <cfRule type="cellIs" dxfId="451" priority="558" operator="equal">
      <formula>"Excluded"</formula>
    </cfRule>
    <cfRule type="cellIs" dxfId="450" priority="557" operator="equal">
      <formula>"Included"</formula>
    </cfRule>
  </conditionalFormatting>
  <conditionalFormatting sqref="D128">
    <cfRule type="cellIs" dxfId="449" priority="556" operator="equal">
      <formula>"Excluded"</formula>
    </cfRule>
    <cfRule type="cellIs" dxfId="448" priority="555" operator="equal">
      <formula>"Included"</formula>
    </cfRule>
  </conditionalFormatting>
  <conditionalFormatting sqref="D130">
    <cfRule type="cellIs" dxfId="447" priority="554" operator="equal">
      <formula>"Excluded"</formula>
    </cfRule>
    <cfRule type="cellIs" dxfId="446" priority="553" operator="equal">
      <formula>"Included"</formula>
    </cfRule>
  </conditionalFormatting>
  <conditionalFormatting sqref="D132">
    <cfRule type="cellIs" dxfId="445" priority="551" operator="equal">
      <formula>"Included"</formula>
    </cfRule>
    <cfRule type="cellIs" dxfId="444" priority="552" operator="equal">
      <formula>"Excluded"</formula>
    </cfRule>
  </conditionalFormatting>
  <conditionalFormatting sqref="D134">
    <cfRule type="cellIs" dxfId="443" priority="550" operator="equal">
      <formula>"Excluded"</formula>
    </cfRule>
    <cfRule type="cellIs" dxfId="442" priority="549" operator="equal">
      <formula>"Included"</formula>
    </cfRule>
  </conditionalFormatting>
  <conditionalFormatting sqref="D136">
    <cfRule type="cellIs" dxfId="441" priority="548" operator="equal">
      <formula>"Excluded"</formula>
    </cfRule>
    <cfRule type="cellIs" dxfId="440" priority="547" operator="equal">
      <formula>"Included"</formula>
    </cfRule>
  </conditionalFormatting>
  <conditionalFormatting sqref="D138">
    <cfRule type="cellIs" dxfId="439" priority="546" operator="equal">
      <formula>"Excluded"</formula>
    </cfRule>
    <cfRule type="cellIs" dxfId="438" priority="545" operator="equal">
      <formula>"Included"</formula>
    </cfRule>
  </conditionalFormatting>
  <conditionalFormatting sqref="D140">
    <cfRule type="cellIs" dxfId="437" priority="544" operator="equal">
      <formula>"Excluded"</formula>
    </cfRule>
    <cfRule type="cellIs" dxfId="436" priority="543" operator="equal">
      <formula>"Included"</formula>
    </cfRule>
  </conditionalFormatting>
  <conditionalFormatting sqref="D142">
    <cfRule type="cellIs" dxfId="435" priority="542" operator="equal">
      <formula>"Excluded"</formula>
    </cfRule>
    <cfRule type="cellIs" dxfId="434" priority="541" operator="equal">
      <formula>"Included"</formula>
    </cfRule>
  </conditionalFormatting>
  <conditionalFormatting sqref="D144">
    <cfRule type="cellIs" dxfId="433" priority="540" operator="equal">
      <formula>"Excluded"</formula>
    </cfRule>
    <cfRule type="cellIs" dxfId="432" priority="539" operator="equal">
      <formula>"Included"</formula>
    </cfRule>
  </conditionalFormatting>
  <conditionalFormatting sqref="D146">
    <cfRule type="cellIs" dxfId="431" priority="537" operator="equal">
      <formula>"Included"</formula>
    </cfRule>
    <cfRule type="cellIs" dxfId="430" priority="538" operator="equal">
      <formula>"Excluded"</formula>
    </cfRule>
  </conditionalFormatting>
  <conditionalFormatting sqref="D148">
    <cfRule type="cellIs" dxfId="429" priority="536" operator="equal">
      <formula>"Excluded"</formula>
    </cfRule>
    <cfRule type="cellIs" dxfId="428" priority="535" operator="equal">
      <formula>"Included"</formula>
    </cfRule>
  </conditionalFormatting>
  <conditionalFormatting sqref="D150">
    <cfRule type="cellIs" dxfId="427" priority="533" operator="equal">
      <formula>"Included"</formula>
    </cfRule>
    <cfRule type="cellIs" dxfId="426" priority="534" operator="equal">
      <formula>"Excluded"</formula>
    </cfRule>
  </conditionalFormatting>
  <conditionalFormatting sqref="D152">
    <cfRule type="cellIs" dxfId="425" priority="531" operator="equal">
      <formula>"Included"</formula>
    </cfRule>
    <cfRule type="cellIs" dxfId="424" priority="532" operator="equal">
      <formula>"Excluded"</formula>
    </cfRule>
  </conditionalFormatting>
  <conditionalFormatting sqref="D154">
    <cfRule type="cellIs" dxfId="423" priority="530" operator="equal">
      <formula>"Excluded"</formula>
    </cfRule>
    <cfRule type="cellIs" dxfId="422" priority="529" operator="equal">
      <formula>"Included"</formula>
    </cfRule>
  </conditionalFormatting>
  <conditionalFormatting sqref="D156">
    <cfRule type="cellIs" dxfId="421" priority="489" operator="equal">
      <formula>"Included"</formula>
    </cfRule>
    <cfRule type="cellIs" dxfId="420" priority="490" operator="equal">
      <formula>"Excluded"</formula>
    </cfRule>
  </conditionalFormatting>
  <conditionalFormatting sqref="D158">
    <cfRule type="cellIs" dxfId="419" priority="492" operator="equal">
      <formula>"Excluded"</formula>
    </cfRule>
    <cfRule type="cellIs" dxfId="418" priority="491" operator="equal">
      <formula>"Included"</formula>
    </cfRule>
  </conditionalFormatting>
  <conditionalFormatting sqref="D160">
    <cfRule type="cellIs" dxfId="417" priority="494" operator="equal">
      <formula>"Excluded"</formula>
    </cfRule>
    <cfRule type="cellIs" dxfId="416" priority="493" operator="equal">
      <formula>"Included"</formula>
    </cfRule>
  </conditionalFormatting>
  <conditionalFormatting sqref="D162">
    <cfRule type="cellIs" dxfId="415" priority="495" operator="equal">
      <formula>"Included"</formula>
    </cfRule>
    <cfRule type="cellIs" dxfId="414" priority="496" operator="equal">
      <formula>"Excluded"</formula>
    </cfRule>
  </conditionalFormatting>
  <conditionalFormatting sqref="D164">
    <cfRule type="cellIs" dxfId="413" priority="497" operator="equal">
      <formula>"Included"</formula>
    </cfRule>
    <cfRule type="cellIs" dxfId="412" priority="498" operator="equal">
      <formula>"Excluded"</formula>
    </cfRule>
  </conditionalFormatting>
  <conditionalFormatting sqref="D166">
    <cfRule type="cellIs" dxfId="411" priority="499" operator="equal">
      <formula>"Included"</formula>
    </cfRule>
    <cfRule type="cellIs" dxfId="410" priority="500" operator="equal">
      <formula>"Excluded"</formula>
    </cfRule>
  </conditionalFormatting>
  <conditionalFormatting sqref="D168">
    <cfRule type="cellIs" dxfId="409" priority="502" operator="equal">
      <formula>"Excluded"</formula>
    </cfRule>
    <cfRule type="cellIs" dxfId="408" priority="501" operator="equal">
      <formula>"Included"</formula>
    </cfRule>
  </conditionalFormatting>
  <conditionalFormatting sqref="D170">
    <cfRule type="cellIs" dxfId="407" priority="503" operator="equal">
      <formula>"Included"</formula>
    </cfRule>
    <cfRule type="cellIs" dxfId="406" priority="504" operator="equal">
      <formula>"Excluded"</formula>
    </cfRule>
  </conditionalFormatting>
  <conditionalFormatting sqref="D172">
    <cfRule type="cellIs" dxfId="405" priority="506" operator="equal">
      <formula>"Excluded"</formula>
    </cfRule>
    <cfRule type="cellIs" dxfId="404" priority="505" operator="equal">
      <formula>"Included"</formula>
    </cfRule>
  </conditionalFormatting>
  <conditionalFormatting sqref="D174">
    <cfRule type="cellIs" dxfId="403" priority="507" operator="equal">
      <formula>"Included"</formula>
    </cfRule>
    <cfRule type="cellIs" dxfId="402" priority="508" operator="equal">
      <formula>"Excluded"</formula>
    </cfRule>
  </conditionalFormatting>
  <conditionalFormatting sqref="D176">
    <cfRule type="cellIs" dxfId="401" priority="509" operator="equal">
      <formula>"Included"</formula>
    </cfRule>
    <cfRule type="cellIs" dxfId="400" priority="510" operator="equal">
      <formula>"Excluded"</formula>
    </cfRule>
  </conditionalFormatting>
  <conditionalFormatting sqref="D178">
    <cfRule type="cellIs" dxfId="399" priority="512" operator="equal">
      <formula>"Excluded"</formula>
    </cfRule>
    <cfRule type="cellIs" dxfId="398" priority="511" operator="equal">
      <formula>"Included"</formula>
    </cfRule>
  </conditionalFormatting>
  <conditionalFormatting sqref="D180">
    <cfRule type="cellIs" dxfId="397" priority="513" operator="equal">
      <formula>"Included"</formula>
    </cfRule>
    <cfRule type="cellIs" dxfId="396" priority="514" operator="equal">
      <formula>"Excluded"</formula>
    </cfRule>
  </conditionalFormatting>
  <conditionalFormatting sqref="D182">
    <cfRule type="cellIs" dxfId="395" priority="523" operator="equal">
      <formula>"Included"</formula>
    </cfRule>
    <cfRule type="cellIs" dxfId="394" priority="524" operator="equal">
      <formula>"Excluded"</formula>
    </cfRule>
  </conditionalFormatting>
  <conditionalFormatting sqref="D184">
    <cfRule type="cellIs" dxfId="393" priority="515" operator="equal">
      <formula>"Included"</formula>
    </cfRule>
    <cfRule type="cellIs" dxfId="392" priority="516" operator="equal">
      <formula>"Excluded"</formula>
    </cfRule>
  </conditionalFormatting>
  <conditionalFormatting sqref="D186">
    <cfRule type="cellIs" dxfId="391" priority="517" operator="equal">
      <formula>"Included"</formula>
    </cfRule>
    <cfRule type="cellIs" dxfId="390" priority="518" operator="equal">
      <formula>"Excluded"</formula>
    </cfRule>
  </conditionalFormatting>
  <conditionalFormatting sqref="D188">
    <cfRule type="cellIs" dxfId="389" priority="519" operator="equal">
      <formula>"Included"</formula>
    </cfRule>
    <cfRule type="cellIs" dxfId="388" priority="520" operator="equal">
      <formula>"Excluded"</formula>
    </cfRule>
  </conditionalFormatting>
  <conditionalFormatting sqref="D190">
    <cfRule type="cellIs" dxfId="387" priority="522" operator="equal">
      <formula>"Excluded"</formula>
    </cfRule>
    <cfRule type="cellIs" dxfId="386" priority="521" operator="equal">
      <formula>"Included"</formula>
    </cfRule>
  </conditionalFormatting>
  <conditionalFormatting sqref="D192">
    <cfRule type="cellIs" dxfId="385" priority="374" operator="equal">
      <formula>"Excluded"</formula>
    </cfRule>
    <cfRule type="cellIs" dxfId="384" priority="373" operator="equal">
      <formula>"Included"</formula>
    </cfRule>
  </conditionalFormatting>
  <conditionalFormatting sqref="D194:D197">
    <cfRule type="cellIs" dxfId="383" priority="525" operator="equal">
      <formula>"OFI"</formula>
    </cfRule>
    <cfRule type="cellIs" dxfId="382" priority="526" operator="equal">
      <formula>"OK"</formula>
    </cfRule>
    <cfRule type="cellIs" dxfId="381" priority="527" operator="equal">
      <formula>"nc-"</formula>
    </cfRule>
    <cfRule type="cellIs" dxfId="380" priority="528" operator="equal">
      <formula>"NC+"</formula>
    </cfRule>
  </conditionalFormatting>
  <conditionalFormatting sqref="G7:H7 G9:H9 G11:H11 G13:H13 G15:H15 G17:H17 G19:H19 G21:H21 G23:H23 G25:H25 G27:H27 G29:H29 G31:H31 G33:H33 G35:H35 G37:H37 G39:H39 G41:H41 G43:H43 G45:H45 G47:H47 G49:H49 G51:H51 G53:H53 G55:H55 G57:H57 G59:H59 G61:H61 G63:H63 G65:H65 G67:H67 G69:H69 G71:H71 G73:H73 G75:H75 G77:H77 G80:H80 G82:H82 G84:H84 G86:H86 G88:H88 G90:H90 G92:H92 G94:H94 G97:H97 G99:H99 G101:H101 G103:H103 G105:H105 G107:H107 G109:H109 G111:H111 G113:H113 G115:H115 G117:H117 G119:H119 G121:H121 G123:H123 G126:H126 G128:H128 G130:H130 G132:H132 G134:H134 G136:H136 G138:H138 G140:H140 G142:H142 G144:H144 G146:H146 G148:H148 G150:H150 G152:H152 G154:H154 G156:H156 G158:H158 G160:H160 G162:H162 G164:H164 G166:H166 G168:H168 G170:H170 G172:H172 G174:H174 G176:H176 G178:H178 G180:H180 G182:H182 G184:H184 G186:H186 G188:H188 G190:H190 G192:H192">
    <cfRule type="expression" dxfId="379" priority="571">
      <formula>#REF!="NC+"</formula>
    </cfRule>
    <cfRule type="expression" dxfId="378" priority="572">
      <formula>#REF!="nc-"</formula>
    </cfRule>
    <cfRule type="expression" dxfId="377" priority="573">
      <formula>#REF!="OFI"</formula>
    </cfRule>
    <cfRule type="expression" dxfId="376" priority="574">
      <formula>#REF!="OK"</formula>
    </cfRule>
  </conditionalFormatting>
  <conditionalFormatting sqref="I194:I200">
    <cfRule type="cellIs" dxfId="375" priority="565" operator="equal">
      <formula>"OFI"</formula>
    </cfRule>
    <cfRule type="cellIs" dxfId="374" priority="566" operator="equal">
      <formula>"OK"</formula>
    </cfRule>
    <cfRule type="cellIs" dxfId="373" priority="568" operator="equal">
      <formula>"NC+"</formula>
    </cfRule>
    <cfRule type="cellIs" dxfId="372" priority="567" operator="equal">
      <formula>"nc-"</formula>
    </cfRule>
  </conditionalFormatting>
  <conditionalFormatting sqref="I5:J5">
    <cfRule type="cellIs" dxfId="371" priority="372" operator="equal">
      <formula>"NC+"</formula>
    </cfRule>
    <cfRule type="cellIs" dxfId="370" priority="371" operator="equal">
      <formula>"nc-"</formula>
    </cfRule>
    <cfRule type="cellIs" dxfId="369" priority="370" operator="equal">
      <formula>"OK"</formula>
    </cfRule>
    <cfRule type="cellIs" dxfId="368" priority="369" operator="equal">
      <formula>"OFI"</formula>
    </cfRule>
  </conditionalFormatting>
  <conditionalFormatting sqref="I7:J7">
    <cfRule type="cellIs" dxfId="367" priority="366" operator="equal">
      <formula>"OK"</formula>
    </cfRule>
    <cfRule type="cellIs" dxfId="366" priority="365" operator="equal">
      <formula>"OFI"</formula>
    </cfRule>
    <cfRule type="cellIs" dxfId="365" priority="368" operator="equal">
      <formula>"NC+"</formula>
    </cfRule>
    <cfRule type="cellIs" dxfId="364" priority="367" operator="equal">
      <formula>"nc-"</formula>
    </cfRule>
  </conditionalFormatting>
  <conditionalFormatting sqref="I9:J9">
    <cfRule type="cellIs" dxfId="363" priority="362" operator="equal">
      <formula>"OK"</formula>
    </cfRule>
    <cfRule type="cellIs" dxfId="362" priority="364" operator="equal">
      <formula>"NC+"</formula>
    </cfRule>
    <cfRule type="cellIs" dxfId="361" priority="363" operator="equal">
      <formula>"nc-"</formula>
    </cfRule>
    <cfRule type="cellIs" dxfId="360" priority="361" operator="equal">
      <formula>"OFI"</formula>
    </cfRule>
  </conditionalFormatting>
  <conditionalFormatting sqref="I11:J11">
    <cfRule type="cellIs" dxfId="359" priority="360" operator="equal">
      <formula>"NC+"</formula>
    </cfRule>
    <cfRule type="cellIs" dxfId="358" priority="358" operator="equal">
      <formula>"OK"</formula>
    </cfRule>
    <cfRule type="cellIs" dxfId="357" priority="357" operator="equal">
      <formula>"OFI"</formula>
    </cfRule>
    <cfRule type="cellIs" dxfId="356" priority="359" operator="equal">
      <formula>"nc-"</formula>
    </cfRule>
  </conditionalFormatting>
  <conditionalFormatting sqref="I13:J13">
    <cfRule type="cellIs" dxfId="355" priority="355" operator="equal">
      <formula>"nc-"</formula>
    </cfRule>
    <cfRule type="cellIs" dxfId="354" priority="353" operator="equal">
      <formula>"OFI"</formula>
    </cfRule>
    <cfRule type="cellIs" dxfId="353" priority="356" operator="equal">
      <formula>"NC+"</formula>
    </cfRule>
    <cfRule type="cellIs" dxfId="352" priority="354" operator="equal">
      <formula>"OK"</formula>
    </cfRule>
  </conditionalFormatting>
  <conditionalFormatting sqref="I15:J15">
    <cfRule type="cellIs" dxfId="351" priority="352" operator="equal">
      <formula>"NC+"</formula>
    </cfRule>
    <cfRule type="cellIs" dxfId="350" priority="351" operator="equal">
      <formula>"nc-"</formula>
    </cfRule>
    <cfRule type="cellIs" dxfId="349" priority="350" operator="equal">
      <formula>"OK"</formula>
    </cfRule>
    <cfRule type="cellIs" dxfId="348" priority="349" operator="equal">
      <formula>"OFI"</formula>
    </cfRule>
  </conditionalFormatting>
  <conditionalFormatting sqref="I17:J17">
    <cfRule type="cellIs" dxfId="347" priority="346" operator="equal">
      <formula>"OK"</formula>
    </cfRule>
    <cfRule type="cellIs" dxfId="346" priority="345" operator="equal">
      <formula>"OFI"</formula>
    </cfRule>
    <cfRule type="cellIs" dxfId="345" priority="348" operator="equal">
      <formula>"NC+"</formula>
    </cfRule>
    <cfRule type="cellIs" dxfId="344" priority="347" operator="equal">
      <formula>"nc-"</formula>
    </cfRule>
  </conditionalFormatting>
  <conditionalFormatting sqref="I19:J19">
    <cfRule type="cellIs" dxfId="343" priority="342" operator="equal">
      <formula>"OK"</formula>
    </cfRule>
    <cfRule type="cellIs" dxfId="342" priority="341" operator="equal">
      <formula>"OFI"</formula>
    </cfRule>
    <cfRule type="cellIs" dxfId="341" priority="344" operator="equal">
      <formula>"NC+"</formula>
    </cfRule>
    <cfRule type="cellIs" dxfId="340" priority="343" operator="equal">
      <formula>"nc-"</formula>
    </cfRule>
  </conditionalFormatting>
  <conditionalFormatting sqref="I21:J21">
    <cfRule type="cellIs" dxfId="339" priority="340" operator="equal">
      <formula>"NC+"</formula>
    </cfRule>
    <cfRule type="cellIs" dxfId="338" priority="339" operator="equal">
      <formula>"nc-"</formula>
    </cfRule>
    <cfRule type="cellIs" dxfId="337" priority="338" operator="equal">
      <formula>"OK"</formula>
    </cfRule>
    <cfRule type="cellIs" dxfId="336" priority="337" operator="equal">
      <formula>"OFI"</formula>
    </cfRule>
  </conditionalFormatting>
  <conditionalFormatting sqref="I23:J23">
    <cfRule type="cellIs" dxfId="335" priority="336" operator="equal">
      <formula>"NC+"</formula>
    </cfRule>
    <cfRule type="cellIs" dxfId="334" priority="335" operator="equal">
      <formula>"nc-"</formula>
    </cfRule>
    <cfRule type="cellIs" dxfId="333" priority="334" operator="equal">
      <formula>"OK"</formula>
    </cfRule>
    <cfRule type="cellIs" dxfId="332" priority="333" operator="equal">
      <formula>"OFI"</formula>
    </cfRule>
  </conditionalFormatting>
  <conditionalFormatting sqref="I25:J25">
    <cfRule type="cellIs" dxfId="331" priority="332" operator="equal">
      <formula>"NC+"</formula>
    </cfRule>
    <cfRule type="cellIs" dxfId="330" priority="331" operator="equal">
      <formula>"nc-"</formula>
    </cfRule>
    <cfRule type="cellIs" dxfId="329" priority="330" operator="equal">
      <formula>"OK"</formula>
    </cfRule>
    <cfRule type="cellIs" dxfId="328" priority="329" operator="equal">
      <formula>"OFI"</formula>
    </cfRule>
  </conditionalFormatting>
  <conditionalFormatting sqref="I27:J27">
    <cfRule type="cellIs" dxfId="327" priority="328" operator="equal">
      <formula>"NC+"</formula>
    </cfRule>
    <cfRule type="cellIs" dxfId="326" priority="327" operator="equal">
      <formula>"nc-"</formula>
    </cfRule>
    <cfRule type="cellIs" dxfId="325" priority="326" operator="equal">
      <formula>"OK"</formula>
    </cfRule>
    <cfRule type="cellIs" dxfId="324" priority="325" operator="equal">
      <formula>"OFI"</formula>
    </cfRule>
  </conditionalFormatting>
  <conditionalFormatting sqref="I29:J29">
    <cfRule type="cellIs" dxfId="323" priority="324" operator="equal">
      <formula>"NC+"</formula>
    </cfRule>
    <cfRule type="cellIs" dxfId="322" priority="323" operator="equal">
      <formula>"nc-"</formula>
    </cfRule>
    <cfRule type="cellIs" dxfId="321" priority="321" operator="equal">
      <formula>"OFI"</formula>
    </cfRule>
    <cfRule type="cellIs" dxfId="320" priority="322" operator="equal">
      <formula>"OK"</formula>
    </cfRule>
  </conditionalFormatting>
  <conditionalFormatting sqref="I31:J31">
    <cfRule type="cellIs" dxfId="319" priority="320" operator="equal">
      <formula>"NC+"</formula>
    </cfRule>
    <cfRule type="cellIs" dxfId="318" priority="319" operator="equal">
      <formula>"nc-"</formula>
    </cfRule>
    <cfRule type="cellIs" dxfId="317" priority="318" operator="equal">
      <formula>"OK"</formula>
    </cfRule>
    <cfRule type="cellIs" dxfId="316" priority="317" operator="equal">
      <formula>"OFI"</formula>
    </cfRule>
  </conditionalFormatting>
  <conditionalFormatting sqref="I33:J33">
    <cfRule type="cellIs" dxfId="315" priority="314" operator="equal">
      <formula>"OK"</formula>
    </cfRule>
    <cfRule type="cellIs" dxfId="314" priority="313" operator="equal">
      <formula>"OFI"</formula>
    </cfRule>
    <cfRule type="cellIs" dxfId="313" priority="316" operator="equal">
      <formula>"NC+"</formula>
    </cfRule>
    <cfRule type="cellIs" dxfId="312" priority="315" operator="equal">
      <formula>"nc-"</formula>
    </cfRule>
  </conditionalFormatting>
  <conditionalFormatting sqref="I35:J35">
    <cfRule type="cellIs" dxfId="311" priority="310" operator="equal">
      <formula>"OK"</formula>
    </cfRule>
    <cfRule type="cellIs" dxfId="310" priority="309" operator="equal">
      <formula>"OFI"</formula>
    </cfRule>
    <cfRule type="cellIs" dxfId="309" priority="312" operator="equal">
      <formula>"NC+"</formula>
    </cfRule>
    <cfRule type="cellIs" dxfId="308" priority="311" operator="equal">
      <formula>"nc-"</formula>
    </cfRule>
  </conditionalFormatting>
  <conditionalFormatting sqref="I37:J37">
    <cfRule type="cellIs" dxfId="307" priority="308" operator="equal">
      <formula>"NC+"</formula>
    </cfRule>
    <cfRule type="cellIs" dxfId="306" priority="307" operator="equal">
      <formula>"nc-"</formula>
    </cfRule>
    <cfRule type="cellIs" dxfId="305" priority="306" operator="equal">
      <formula>"OK"</formula>
    </cfRule>
    <cfRule type="cellIs" dxfId="304" priority="305" operator="equal">
      <formula>"OFI"</formula>
    </cfRule>
  </conditionalFormatting>
  <conditionalFormatting sqref="I39:J39">
    <cfRule type="cellIs" dxfId="303" priority="304" operator="equal">
      <formula>"NC+"</formula>
    </cfRule>
    <cfRule type="cellIs" dxfId="302" priority="303" operator="equal">
      <formula>"nc-"</formula>
    </cfRule>
    <cfRule type="cellIs" dxfId="301" priority="301" operator="equal">
      <formula>"OFI"</formula>
    </cfRule>
    <cfRule type="cellIs" dxfId="300" priority="302" operator="equal">
      <formula>"OK"</formula>
    </cfRule>
  </conditionalFormatting>
  <conditionalFormatting sqref="I41:J41">
    <cfRule type="cellIs" dxfId="299" priority="300" operator="equal">
      <formula>"NC+"</formula>
    </cfRule>
    <cfRule type="cellIs" dxfId="298" priority="299" operator="equal">
      <formula>"nc-"</formula>
    </cfRule>
    <cfRule type="cellIs" dxfId="297" priority="298" operator="equal">
      <formula>"OK"</formula>
    </cfRule>
    <cfRule type="cellIs" dxfId="296" priority="297" operator="equal">
      <formula>"OFI"</formula>
    </cfRule>
  </conditionalFormatting>
  <conditionalFormatting sqref="I43:J43">
    <cfRule type="cellIs" dxfId="295" priority="296" operator="equal">
      <formula>"NC+"</formula>
    </cfRule>
    <cfRule type="cellIs" dxfId="294" priority="295" operator="equal">
      <formula>"nc-"</formula>
    </cfRule>
    <cfRule type="cellIs" dxfId="293" priority="293" operator="equal">
      <formula>"OFI"</formula>
    </cfRule>
    <cfRule type="cellIs" dxfId="292" priority="294" operator="equal">
      <formula>"OK"</formula>
    </cfRule>
  </conditionalFormatting>
  <conditionalFormatting sqref="I45:J45">
    <cfRule type="cellIs" dxfId="291" priority="292" operator="equal">
      <formula>"NC+"</formula>
    </cfRule>
    <cfRule type="cellIs" dxfId="290" priority="291" operator="equal">
      <formula>"nc-"</formula>
    </cfRule>
    <cfRule type="cellIs" dxfId="289" priority="290" operator="equal">
      <formula>"OK"</formula>
    </cfRule>
    <cfRule type="cellIs" dxfId="288" priority="289" operator="equal">
      <formula>"OFI"</formula>
    </cfRule>
  </conditionalFormatting>
  <conditionalFormatting sqref="I47:J47">
    <cfRule type="cellIs" dxfId="287" priority="287" operator="equal">
      <formula>"nc-"</formula>
    </cfRule>
    <cfRule type="cellIs" dxfId="286" priority="288" operator="equal">
      <formula>"NC+"</formula>
    </cfRule>
    <cfRule type="cellIs" dxfId="285" priority="285" operator="equal">
      <formula>"OFI"</formula>
    </cfRule>
    <cfRule type="cellIs" dxfId="284" priority="286" operator="equal">
      <formula>"OK"</formula>
    </cfRule>
  </conditionalFormatting>
  <conditionalFormatting sqref="I49:J49">
    <cfRule type="cellIs" dxfId="283" priority="282" operator="equal">
      <formula>"OK"</formula>
    </cfRule>
    <cfRule type="cellIs" dxfId="282" priority="281" operator="equal">
      <formula>"OFI"</formula>
    </cfRule>
    <cfRule type="cellIs" dxfId="281" priority="284" operator="equal">
      <formula>"NC+"</formula>
    </cfRule>
    <cfRule type="cellIs" dxfId="280" priority="283" operator="equal">
      <formula>"nc-"</formula>
    </cfRule>
  </conditionalFormatting>
  <conditionalFormatting sqref="I51:J51">
    <cfRule type="cellIs" dxfId="279" priority="280" operator="equal">
      <formula>"NC+"</formula>
    </cfRule>
    <cfRule type="cellIs" dxfId="278" priority="279" operator="equal">
      <formula>"nc-"</formula>
    </cfRule>
    <cfRule type="cellIs" dxfId="277" priority="278" operator="equal">
      <formula>"OK"</formula>
    </cfRule>
    <cfRule type="cellIs" dxfId="276" priority="277" operator="equal">
      <formula>"OFI"</formula>
    </cfRule>
  </conditionalFormatting>
  <conditionalFormatting sqref="I53:J53">
    <cfRule type="cellIs" dxfId="275" priority="276" operator="equal">
      <formula>"NC+"</formula>
    </cfRule>
    <cfRule type="cellIs" dxfId="274" priority="275" operator="equal">
      <formula>"nc-"</formula>
    </cfRule>
    <cfRule type="cellIs" dxfId="273" priority="274" operator="equal">
      <formula>"OK"</formula>
    </cfRule>
    <cfRule type="cellIs" dxfId="272" priority="273" operator="equal">
      <formula>"OFI"</formula>
    </cfRule>
  </conditionalFormatting>
  <conditionalFormatting sqref="I55:J55">
    <cfRule type="cellIs" dxfId="271" priority="272" operator="equal">
      <formula>"NC+"</formula>
    </cfRule>
    <cfRule type="cellIs" dxfId="270" priority="271" operator="equal">
      <formula>"nc-"</formula>
    </cfRule>
    <cfRule type="cellIs" dxfId="269" priority="270" operator="equal">
      <formula>"OK"</formula>
    </cfRule>
    <cfRule type="cellIs" dxfId="268" priority="269" operator="equal">
      <formula>"OFI"</formula>
    </cfRule>
  </conditionalFormatting>
  <conditionalFormatting sqref="I57:J57">
    <cfRule type="cellIs" dxfId="267" priority="268" operator="equal">
      <formula>"NC+"</formula>
    </cfRule>
    <cfRule type="cellIs" dxfId="266" priority="267" operator="equal">
      <formula>"nc-"</formula>
    </cfRule>
    <cfRule type="cellIs" dxfId="265" priority="266" operator="equal">
      <formula>"OK"</formula>
    </cfRule>
    <cfRule type="cellIs" dxfId="264" priority="265" operator="equal">
      <formula>"OFI"</formula>
    </cfRule>
  </conditionalFormatting>
  <conditionalFormatting sqref="I59:J59">
    <cfRule type="cellIs" dxfId="263" priority="262" operator="equal">
      <formula>"OK"</formula>
    </cfRule>
    <cfRule type="cellIs" dxfId="262" priority="261" operator="equal">
      <formula>"OFI"</formula>
    </cfRule>
    <cfRule type="cellIs" dxfId="261" priority="263" operator="equal">
      <formula>"nc-"</formula>
    </cfRule>
    <cfRule type="cellIs" dxfId="260" priority="264" operator="equal">
      <formula>"NC+"</formula>
    </cfRule>
  </conditionalFormatting>
  <conditionalFormatting sqref="I61:J61">
    <cfRule type="cellIs" dxfId="259" priority="260" operator="equal">
      <formula>"NC+"</formula>
    </cfRule>
    <cfRule type="cellIs" dxfId="258" priority="259" operator="equal">
      <formula>"nc-"</formula>
    </cfRule>
    <cfRule type="cellIs" dxfId="257" priority="258" operator="equal">
      <formula>"OK"</formula>
    </cfRule>
    <cfRule type="cellIs" dxfId="256" priority="257" operator="equal">
      <formula>"OFI"</formula>
    </cfRule>
  </conditionalFormatting>
  <conditionalFormatting sqref="I63:J63">
    <cfRule type="cellIs" dxfId="255" priority="256" operator="equal">
      <formula>"NC+"</formula>
    </cfRule>
    <cfRule type="cellIs" dxfId="254" priority="255" operator="equal">
      <formula>"nc-"</formula>
    </cfRule>
    <cfRule type="cellIs" dxfId="253" priority="254" operator="equal">
      <formula>"OK"</formula>
    </cfRule>
    <cfRule type="cellIs" dxfId="252" priority="253" operator="equal">
      <formula>"OFI"</formula>
    </cfRule>
  </conditionalFormatting>
  <conditionalFormatting sqref="I65:J65">
    <cfRule type="cellIs" dxfId="251" priority="252" operator="equal">
      <formula>"NC+"</formula>
    </cfRule>
    <cfRule type="cellIs" dxfId="250" priority="251" operator="equal">
      <formula>"nc-"</formula>
    </cfRule>
    <cfRule type="cellIs" dxfId="249" priority="250" operator="equal">
      <formula>"OK"</formula>
    </cfRule>
    <cfRule type="cellIs" dxfId="248" priority="249" operator="equal">
      <formula>"OFI"</formula>
    </cfRule>
  </conditionalFormatting>
  <conditionalFormatting sqref="I67:J67">
    <cfRule type="cellIs" dxfId="247" priority="246" operator="equal">
      <formula>"OK"</formula>
    </cfRule>
    <cfRule type="cellIs" dxfId="246" priority="245" operator="equal">
      <formula>"OFI"</formula>
    </cfRule>
    <cfRule type="cellIs" dxfId="245" priority="248" operator="equal">
      <formula>"NC+"</formula>
    </cfRule>
    <cfRule type="cellIs" dxfId="244" priority="247" operator="equal">
      <formula>"nc-"</formula>
    </cfRule>
  </conditionalFormatting>
  <conditionalFormatting sqref="I69:J69">
    <cfRule type="cellIs" dxfId="243" priority="242" operator="equal">
      <formula>"OK"</formula>
    </cfRule>
    <cfRule type="cellIs" dxfId="242" priority="241" operator="equal">
      <formula>"OFI"</formula>
    </cfRule>
    <cfRule type="cellIs" dxfId="241" priority="244" operator="equal">
      <formula>"NC+"</formula>
    </cfRule>
    <cfRule type="cellIs" dxfId="240" priority="243" operator="equal">
      <formula>"nc-"</formula>
    </cfRule>
  </conditionalFormatting>
  <conditionalFormatting sqref="I71:J71">
    <cfRule type="cellIs" dxfId="239" priority="240" operator="equal">
      <formula>"NC+"</formula>
    </cfRule>
    <cfRule type="cellIs" dxfId="238" priority="239" operator="equal">
      <formula>"nc-"</formula>
    </cfRule>
    <cfRule type="cellIs" dxfId="237" priority="238" operator="equal">
      <formula>"OK"</formula>
    </cfRule>
    <cfRule type="cellIs" dxfId="236" priority="237" operator="equal">
      <formula>"OFI"</formula>
    </cfRule>
  </conditionalFormatting>
  <conditionalFormatting sqref="I73:J73">
    <cfRule type="cellIs" dxfId="235" priority="236" operator="equal">
      <formula>"NC+"</formula>
    </cfRule>
    <cfRule type="cellIs" dxfId="234" priority="235" operator="equal">
      <formula>"nc-"</formula>
    </cfRule>
    <cfRule type="cellIs" dxfId="233" priority="234" operator="equal">
      <formula>"OK"</formula>
    </cfRule>
    <cfRule type="cellIs" dxfId="232" priority="233" operator="equal">
      <formula>"OFI"</formula>
    </cfRule>
  </conditionalFormatting>
  <conditionalFormatting sqref="I75:J75">
    <cfRule type="cellIs" dxfId="231" priority="232" operator="equal">
      <formula>"NC+"</formula>
    </cfRule>
    <cfRule type="cellIs" dxfId="230" priority="231" operator="equal">
      <formula>"nc-"</formula>
    </cfRule>
    <cfRule type="cellIs" dxfId="229" priority="230" operator="equal">
      <formula>"OK"</formula>
    </cfRule>
    <cfRule type="cellIs" dxfId="228" priority="229" operator="equal">
      <formula>"OFI"</formula>
    </cfRule>
  </conditionalFormatting>
  <conditionalFormatting sqref="I77:J77">
    <cfRule type="cellIs" dxfId="227" priority="228" operator="equal">
      <formula>"NC+"</formula>
    </cfRule>
    <cfRule type="cellIs" dxfId="226" priority="227" operator="equal">
      <formula>"nc-"</formula>
    </cfRule>
    <cfRule type="cellIs" dxfId="225" priority="226" operator="equal">
      <formula>"OK"</formula>
    </cfRule>
    <cfRule type="cellIs" dxfId="224" priority="225" operator="equal">
      <formula>"OFI"</formula>
    </cfRule>
  </conditionalFormatting>
  <conditionalFormatting sqref="I80:J80">
    <cfRule type="cellIs" dxfId="223" priority="224" operator="equal">
      <formula>"NC+"</formula>
    </cfRule>
    <cfRule type="cellIs" dxfId="222" priority="223" operator="equal">
      <formula>"nc-"</formula>
    </cfRule>
    <cfRule type="cellIs" dxfId="221" priority="222" operator="equal">
      <formula>"OK"</formula>
    </cfRule>
    <cfRule type="cellIs" dxfId="220" priority="221" operator="equal">
      <formula>"OFI"</formula>
    </cfRule>
  </conditionalFormatting>
  <conditionalFormatting sqref="I82:J82">
    <cfRule type="cellIs" dxfId="219" priority="219" operator="equal">
      <formula>"nc-"</formula>
    </cfRule>
    <cfRule type="cellIs" dxfId="218" priority="218" operator="equal">
      <formula>"OK"</formula>
    </cfRule>
    <cfRule type="cellIs" dxfId="217" priority="217" operator="equal">
      <formula>"OFI"</formula>
    </cfRule>
    <cfRule type="cellIs" dxfId="216" priority="220" operator="equal">
      <formula>"NC+"</formula>
    </cfRule>
  </conditionalFormatting>
  <conditionalFormatting sqref="I84:J84">
    <cfRule type="cellIs" dxfId="215" priority="216" operator="equal">
      <formula>"NC+"</formula>
    </cfRule>
    <cfRule type="cellIs" dxfId="214" priority="215" operator="equal">
      <formula>"nc-"</formula>
    </cfRule>
    <cfRule type="cellIs" dxfId="213" priority="214" operator="equal">
      <formula>"OK"</formula>
    </cfRule>
    <cfRule type="cellIs" dxfId="212" priority="213" operator="equal">
      <formula>"OFI"</formula>
    </cfRule>
  </conditionalFormatting>
  <conditionalFormatting sqref="I86:J86">
    <cfRule type="cellIs" dxfId="211" priority="210" operator="equal">
      <formula>"OK"</formula>
    </cfRule>
    <cfRule type="cellIs" dxfId="210" priority="209" operator="equal">
      <formula>"OFI"</formula>
    </cfRule>
    <cfRule type="cellIs" dxfId="209" priority="212" operator="equal">
      <formula>"NC+"</formula>
    </cfRule>
    <cfRule type="cellIs" dxfId="208" priority="211" operator="equal">
      <formula>"nc-"</formula>
    </cfRule>
  </conditionalFormatting>
  <conditionalFormatting sqref="I88:J88">
    <cfRule type="cellIs" dxfId="207" priority="206" operator="equal">
      <formula>"OK"</formula>
    </cfRule>
    <cfRule type="cellIs" dxfId="206" priority="205" operator="equal">
      <formula>"OFI"</formula>
    </cfRule>
    <cfRule type="cellIs" dxfId="205" priority="207" operator="equal">
      <formula>"nc-"</formula>
    </cfRule>
    <cfRule type="cellIs" dxfId="204" priority="208" operator="equal">
      <formula>"NC+"</formula>
    </cfRule>
  </conditionalFormatting>
  <conditionalFormatting sqref="I90:J90">
    <cfRule type="cellIs" dxfId="203" priority="204" operator="equal">
      <formula>"NC+"</formula>
    </cfRule>
    <cfRule type="cellIs" dxfId="202" priority="203" operator="equal">
      <formula>"nc-"</formula>
    </cfRule>
    <cfRule type="cellIs" dxfId="201" priority="202" operator="equal">
      <formula>"OK"</formula>
    </cfRule>
    <cfRule type="cellIs" dxfId="200" priority="201" operator="equal">
      <formula>"OFI"</formula>
    </cfRule>
  </conditionalFormatting>
  <conditionalFormatting sqref="I92:J92">
    <cfRule type="cellIs" dxfId="199" priority="200" operator="equal">
      <formula>"NC+"</formula>
    </cfRule>
    <cfRule type="cellIs" dxfId="198" priority="199" operator="equal">
      <formula>"nc-"</formula>
    </cfRule>
    <cfRule type="cellIs" dxfId="197" priority="198" operator="equal">
      <formula>"OK"</formula>
    </cfRule>
    <cfRule type="cellIs" dxfId="196" priority="197" operator="equal">
      <formula>"OFI"</formula>
    </cfRule>
  </conditionalFormatting>
  <conditionalFormatting sqref="I94:J94">
    <cfRule type="cellIs" dxfId="195" priority="196" operator="equal">
      <formula>"NC+"</formula>
    </cfRule>
    <cfRule type="cellIs" dxfId="194" priority="195" operator="equal">
      <formula>"nc-"</formula>
    </cfRule>
    <cfRule type="cellIs" dxfId="193" priority="194" operator="equal">
      <formula>"OK"</formula>
    </cfRule>
    <cfRule type="cellIs" dxfId="192" priority="193" operator="equal">
      <formula>"OFI"</formula>
    </cfRule>
  </conditionalFormatting>
  <conditionalFormatting sqref="I97:J97">
    <cfRule type="cellIs" dxfId="191" priority="192" operator="equal">
      <formula>"NC+"</formula>
    </cfRule>
    <cfRule type="cellIs" dxfId="190" priority="191" operator="equal">
      <formula>"nc-"</formula>
    </cfRule>
    <cfRule type="cellIs" dxfId="189" priority="190" operator="equal">
      <formula>"OK"</formula>
    </cfRule>
    <cfRule type="cellIs" dxfId="188" priority="189" operator="equal">
      <formula>"OFI"</formula>
    </cfRule>
  </conditionalFormatting>
  <conditionalFormatting sqref="I99:J99">
    <cfRule type="cellIs" dxfId="187" priority="186" operator="equal">
      <formula>"OK"</formula>
    </cfRule>
    <cfRule type="cellIs" dxfId="186" priority="185" operator="equal">
      <formula>"OFI"</formula>
    </cfRule>
    <cfRule type="cellIs" dxfId="185" priority="187" operator="equal">
      <formula>"nc-"</formula>
    </cfRule>
    <cfRule type="cellIs" dxfId="184" priority="188" operator="equal">
      <formula>"NC+"</formula>
    </cfRule>
  </conditionalFormatting>
  <conditionalFormatting sqref="I101:J101">
    <cfRule type="cellIs" dxfId="183" priority="184" operator="equal">
      <formula>"NC+"</formula>
    </cfRule>
    <cfRule type="cellIs" dxfId="182" priority="183" operator="equal">
      <formula>"nc-"</formula>
    </cfRule>
    <cfRule type="cellIs" dxfId="181" priority="182" operator="equal">
      <formula>"OK"</formula>
    </cfRule>
    <cfRule type="cellIs" dxfId="180" priority="181" operator="equal">
      <formula>"OFI"</formula>
    </cfRule>
  </conditionalFormatting>
  <conditionalFormatting sqref="I103:J103">
    <cfRule type="cellIs" dxfId="179" priority="180" operator="equal">
      <formula>"NC+"</formula>
    </cfRule>
    <cfRule type="cellIs" dxfId="178" priority="179" operator="equal">
      <formula>"nc-"</formula>
    </cfRule>
    <cfRule type="cellIs" dxfId="177" priority="178" operator="equal">
      <formula>"OK"</formula>
    </cfRule>
    <cfRule type="cellIs" dxfId="176" priority="177" operator="equal">
      <formula>"OFI"</formula>
    </cfRule>
  </conditionalFormatting>
  <conditionalFormatting sqref="I105:J105">
    <cfRule type="cellIs" dxfId="175" priority="176" operator="equal">
      <formula>"NC+"</formula>
    </cfRule>
    <cfRule type="cellIs" dxfId="174" priority="174" operator="equal">
      <formula>"OK"</formula>
    </cfRule>
    <cfRule type="cellIs" dxfId="173" priority="173" operator="equal">
      <formula>"OFI"</formula>
    </cfRule>
    <cfRule type="cellIs" dxfId="172" priority="175" operator="equal">
      <formula>"nc-"</formula>
    </cfRule>
  </conditionalFormatting>
  <conditionalFormatting sqref="I107:J107">
    <cfRule type="cellIs" dxfId="171" priority="170" operator="equal">
      <formula>"OK"</formula>
    </cfRule>
    <cfRule type="cellIs" dxfId="170" priority="169" operator="equal">
      <formula>"OFI"</formula>
    </cfRule>
    <cfRule type="cellIs" dxfId="169" priority="172" operator="equal">
      <formula>"NC+"</formula>
    </cfRule>
    <cfRule type="cellIs" dxfId="168" priority="171" operator="equal">
      <formula>"nc-"</formula>
    </cfRule>
  </conditionalFormatting>
  <conditionalFormatting sqref="I109:J109">
    <cfRule type="cellIs" dxfId="167" priority="166" operator="equal">
      <formula>"OK"</formula>
    </cfRule>
    <cfRule type="cellIs" dxfId="166" priority="165" operator="equal">
      <formula>"OFI"</formula>
    </cfRule>
    <cfRule type="cellIs" dxfId="165" priority="168" operator="equal">
      <formula>"NC+"</formula>
    </cfRule>
    <cfRule type="cellIs" dxfId="164" priority="167" operator="equal">
      <formula>"nc-"</formula>
    </cfRule>
  </conditionalFormatting>
  <conditionalFormatting sqref="I111:J111">
    <cfRule type="cellIs" dxfId="163" priority="164" operator="equal">
      <formula>"NC+"</formula>
    </cfRule>
    <cfRule type="cellIs" dxfId="162" priority="163" operator="equal">
      <formula>"nc-"</formula>
    </cfRule>
    <cfRule type="cellIs" dxfId="161" priority="162" operator="equal">
      <formula>"OK"</formula>
    </cfRule>
    <cfRule type="cellIs" dxfId="160" priority="161" operator="equal">
      <formula>"OFI"</formula>
    </cfRule>
  </conditionalFormatting>
  <conditionalFormatting sqref="I113:J113">
    <cfRule type="cellIs" dxfId="159" priority="160" operator="equal">
      <formula>"NC+"</formula>
    </cfRule>
    <cfRule type="cellIs" dxfId="158" priority="159" operator="equal">
      <formula>"nc-"</formula>
    </cfRule>
    <cfRule type="cellIs" dxfId="157" priority="158" operator="equal">
      <formula>"OK"</formula>
    </cfRule>
    <cfRule type="cellIs" dxfId="156" priority="157" operator="equal">
      <formula>"OFI"</formula>
    </cfRule>
  </conditionalFormatting>
  <conditionalFormatting sqref="I115:J115">
    <cfRule type="cellIs" dxfId="155" priority="156" operator="equal">
      <formula>"NC+"</formula>
    </cfRule>
    <cfRule type="cellIs" dxfId="154" priority="154" operator="equal">
      <formula>"OK"</formula>
    </cfRule>
    <cfRule type="cellIs" dxfId="153" priority="153" operator="equal">
      <formula>"OFI"</formula>
    </cfRule>
    <cfRule type="cellIs" dxfId="152" priority="155" operator="equal">
      <formula>"nc-"</formula>
    </cfRule>
  </conditionalFormatting>
  <conditionalFormatting sqref="I117:J117">
    <cfRule type="cellIs" dxfId="151" priority="152" operator="equal">
      <formula>"NC+"</formula>
    </cfRule>
    <cfRule type="cellIs" dxfId="150" priority="151" operator="equal">
      <formula>"nc-"</formula>
    </cfRule>
    <cfRule type="cellIs" dxfId="149" priority="150" operator="equal">
      <formula>"OK"</formula>
    </cfRule>
    <cfRule type="cellIs" dxfId="148" priority="149" operator="equal">
      <formula>"OFI"</formula>
    </cfRule>
  </conditionalFormatting>
  <conditionalFormatting sqref="I119:J119">
    <cfRule type="cellIs" dxfId="147" priority="148" operator="equal">
      <formula>"NC+"</formula>
    </cfRule>
    <cfRule type="cellIs" dxfId="146" priority="146" operator="equal">
      <formula>"OK"</formula>
    </cfRule>
    <cfRule type="cellIs" dxfId="145" priority="145" operator="equal">
      <formula>"OFI"</formula>
    </cfRule>
    <cfRule type="cellIs" dxfId="144" priority="147" operator="equal">
      <formula>"nc-"</formula>
    </cfRule>
  </conditionalFormatting>
  <conditionalFormatting sqref="I121:J121">
    <cfRule type="cellIs" dxfId="143" priority="144" operator="equal">
      <formula>"NC+"</formula>
    </cfRule>
    <cfRule type="cellIs" dxfId="142" priority="142" operator="equal">
      <formula>"OK"</formula>
    </cfRule>
    <cfRule type="cellIs" dxfId="141" priority="141" operator="equal">
      <formula>"OFI"</formula>
    </cfRule>
    <cfRule type="cellIs" dxfId="140" priority="143" operator="equal">
      <formula>"nc-"</formula>
    </cfRule>
  </conditionalFormatting>
  <conditionalFormatting sqref="I123:J123">
    <cfRule type="cellIs" dxfId="139" priority="138" operator="equal">
      <formula>"OK"</formula>
    </cfRule>
    <cfRule type="cellIs" dxfId="138" priority="137" operator="equal">
      <formula>"OFI"</formula>
    </cfRule>
    <cfRule type="cellIs" dxfId="137" priority="140" operator="equal">
      <formula>"NC+"</formula>
    </cfRule>
    <cfRule type="cellIs" dxfId="136" priority="139" operator="equal">
      <formula>"nc-"</formula>
    </cfRule>
  </conditionalFormatting>
  <conditionalFormatting sqref="I126:J126">
    <cfRule type="cellIs" dxfId="135" priority="134" operator="equal">
      <formula>"OK"</formula>
    </cfRule>
    <cfRule type="cellIs" dxfId="134" priority="133" operator="equal">
      <formula>"OFI"</formula>
    </cfRule>
    <cfRule type="cellIs" dxfId="133" priority="136" operator="equal">
      <formula>"NC+"</formula>
    </cfRule>
    <cfRule type="cellIs" dxfId="132" priority="135" operator="equal">
      <formula>"nc-"</formula>
    </cfRule>
  </conditionalFormatting>
  <conditionalFormatting sqref="I128:J128">
    <cfRule type="cellIs" dxfId="131" priority="132" operator="equal">
      <formula>"NC+"</formula>
    </cfRule>
    <cfRule type="cellIs" dxfId="130" priority="131" operator="equal">
      <formula>"nc-"</formula>
    </cfRule>
    <cfRule type="cellIs" dxfId="129" priority="130" operator="equal">
      <formula>"OK"</formula>
    </cfRule>
    <cfRule type="cellIs" dxfId="128" priority="129" operator="equal">
      <formula>"OFI"</formula>
    </cfRule>
  </conditionalFormatting>
  <conditionalFormatting sqref="I130:J130">
    <cfRule type="cellIs" dxfId="127" priority="128" operator="equal">
      <formula>"NC+"</formula>
    </cfRule>
    <cfRule type="cellIs" dxfId="126" priority="127" operator="equal">
      <formula>"nc-"</formula>
    </cfRule>
    <cfRule type="cellIs" dxfId="125" priority="126" operator="equal">
      <formula>"OK"</formula>
    </cfRule>
    <cfRule type="cellIs" dxfId="124" priority="125" operator="equal">
      <formula>"OFI"</formula>
    </cfRule>
  </conditionalFormatting>
  <conditionalFormatting sqref="I132:J132">
    <cfRule type="cellIs" dxfId="123" priority="124" operator="equal">
      <formula>"NC+"</formula>
    </cfRule>
    <cfRule type="cellIs" dxfId="122" priority="123" operator="equal">
      <formula>"nc-"</formula>
    </cfRule>
    <cfRule type="cellIs" dxfId="121" priority="122" operator="equal">
      <formula>"OK"</formula>
    </cfRule>
    <cfRule type="cellIs" dxfId="120" priority="121" operator="equal">
      <formula>"OFI"</formula>
    </cfRule>
  </conditionalFormatting>
  <conditionalFormatting sqref="I134:J134">
    <cfRule type="cellIs" dxfId="119" priority="120" operator="equal">
      <formula>"NC+"</formula>
    </cfRule>
    <cfRule type="cellIs" dxfId="118" priority="119" operator="equal">
      <formula>"nc-"</formula>
    </cfRule>
    <cfRule type="cellIs" dxfId="117" priority="118" operator="equal">
      <formula>"OK"</formula>
    </cfRule>
    <cfRule type="cellIs" dxfId="116" priority="117" operator="equal">
      <formula>"OFI"</formula>
    </cfRule>
  </conditionalFormatting>
  <conditionalFormatting sqref="I136:J136">
    <cfRule type="cellIs" dxfId="115" priority="114" operator="equal">
      <formula>"OK"</formula>
    </cfRule>
    <cfRule type="cellIs" dxfId="114" priority="113" operator="equal">
      <formula>"OFI"</formula>
    </cfRule>
    <cfRule type="cellIs" dxfId="113" priority="115" operator="equal">
      <formula>"nc-"</formula>
    </cfRule>
    <cfRule type="cellIs" dxfId="112" priority="116" operator="equal">
      <formula>"NC+"</formula>
    </cfRule>
  </conditionalFormatting>
  <conditionalFormatting sqref="I138:J138">
    <cfRule type="cellIs" dxfId="111" priority="112" operator="equal">
      <formula>"NC+"</formula>
    </cfRule>
    <cfRule type="cellIs" dxfId="110" priority="111" operator="equal">
      <formula>"nc-"</formula>
    </cfRule>
    <cfRule type="cellIs" dxfId="109" priority="110" operator="equal">
      <formula>"OK"</formula>
    </cfRule>
    <cfRule type="cellIs" dxfId="108" priority="109" operator="equal">
      <formula>"OFI"</formula>
    </cfRule>
  </conditionalFormatting>
  <conditionalFormatting sqref="I140:J140">
    <cfRule type="cellIs" dxfId="107" priority="108" operator="equal">
      <formula>"NC+"</formula>
    </cfRule>
    <cfRule type="cellIs" dxfId="106" priority="107" operator="equal">
      <formula>"nc-"</formula>
    </cfRule>
    <cfRule type="cellIs" dxfId="105" priority="106" operator="equal">
      <formula>"OK"</formula>
    </cfRule>
    <cfRule type="cellIs" dxfId="104" priority="105" operator="equal">
      <formula>"OFI"</formula>
    </cfRule>
  </conditionalFormatting>
  <conditionalFormatting sqref="I142:J142">
    <cfRule type="cellIs" dxfId="103" priority="104" operator="equal">
      <formula>"NC+"</formula>
    </cfRule>
    <cfRule type="cellIs" dxfId="102" priority="103" operator="equal">
      <formula>"nc-"</formula>
    </cfRule>
    <cfRule type="cellIs" dxfId="101" priority="102" operator="equal">
      <formula>"OK"</formula>
    </cfRule>
    <cfRule type="cellIs" dxfId="100" priority="101" operator="equal">
      <formula>"OFI"</formula>
    </cfRule>
  </conditionalFormatting>
  <conditionalFormatting sqref="I144:J144">
    <cfRule type="cellIs" dxfId="99" priority="98" operator="equal">
      <formula>"OK"</formula>
    </cfRule>
    <cfRule type="cellIs" dxfId="98" priority="97" operator="equal">
      <formula>"OFI"</formula>
    </cfRule>
    <cfRule type="cellIs" dxfId="97" priority="100" operator="equal">
      <formula>"NC+"</formula>
    </cfRule>
    <cfRule type="cellIs" dxfId="96" priority="99" operator="equal">
      <formula>"nc-"</formula>
    </cfRule>
  </conditionalFormatting>
  <conditionalFormatting sqref="I146:J146">
    <cfRule type="cellIs" dxfId="95" priority="94" operator="equal">
      <formula>"OK"</formula>
    </cfRule>
    <cfRule type="cellIs" dxfId="94" priority="93" operator="equal">
      <formula>"OFI"</formula>
    </cfRule>
    <cfRule type="cellIs" dxfId="93" priority="96" operator="equal">
      <formula>"NC+"</formula>
    </cfRule>
    <cfRule type="cellIs" dxfId="92" priority="95" operator="equal">
      <formula>"nc-"</formula>
    </cfRule>
  </conditionalFormatting>
  <conditionalFormatting sqref="I148:J148">
    <cfRule type="cellIs" dxfId="91" priority="92" operator="equal">
      <formula>"NC+"</formula>
    </cfRule>
    <cfRule type="cellIs" dxfId="90" priority="91" operator="equal">
      <formula>"nc-"</formula>
    </cfRule>
    <cfRule type="cellIs" dxfId="89" priority="90" operator="equal">
      <formula>"OK"</formula>
    </cfRule>
    <cfRule type="cellIs" dxfId="88" priority="89" operator="equal">
      <formula>"OFI"</formula>
    </cfRule>
  </conditionalFormatting>
  <conditionalFormatting sqref="I150:J150">
    <cfRule type="cellIs" dxfId="87" priority="88" operator="equal">
      <formula>"NC+"</formula>
    </cfRule>
    <cfRule type="cellIs" dxfId="86" priority="87" operator="equal">
      <formula>"nc-"</formula>
    </cfRule>
    <cfRule type="cellIs" dxfId="85" priority="86" operator="equal">
      <formula>"OK"</formula>
    </cfRule>
    <cfRule type="cellIs" dxfId="84" priority="85" operator="equal">
      <formula>"OFI"</formula>
    </cfRule>
  </conditionalFormatting>
  <conditionalFormatting sqref="I152:J152">
    <cfRule type="cellIs" dxfId="83" priority="84" operator="equal">
      <formula>"NC+"</formula>
    </cfRule>
    <cfRule type="cellIs" dxfId="82" priority="82" operator="equal">
      <formula>"OK"</formula>
    </cfRule>
    <cfRule type="cellIs" dxfId="81" priority="81" operator="equal">
      <formula>"OFI"</formula>
    </cfRule>
    <cfRule type="cellIs" dxfId="80" priority="83" operator="equal">
      <formula>"nc-"</formula>
    </cfRule>
  </conditionalFormatting>
  <conditionalFormatting sqref="I154:J154">
    <cfRule type="cellIs" dxfId="79" priority="80" operator="equal">
      <formula>"NC+"</formula>
    </cfRule>
    <cfRule type="cellIs" dxfId="78" priority="79" operator="equal">
      <formula>"nc-"</formula>
    </cfRule>
    <cfRule type="cellIs" dxfId="77" priority="78" operator="equal">
      <formula>"OK"</formula>
    </cfRule>
    <cfRule type="cellIs" dxfId="76" priority="77" operator="equal">
      <formula>"OFI"</formula>
    </cfRule>
  </conditionalFormatting>
  <conditionalFormatting sqref="I156:J156">
    <cfRule type="cellIs" dxfId="75" priority="76" operator="equal">
      <formula>"NC+"</formula>
    </cfRule>
    <cfRule type="cellIs" dxfId="74" priority="74" operator="equal">
      <formula>"OK"</formula>
    </cfRule>
    <cfRule type="cellIs" dxfId="73" priority="73" operator="equal">
      <formula>"OFI"</formula>
    </cfRule>
    <cfRule type="cellIs" dxfId="72" priority="75" operator="equal">
      <formula>"nc-"</formula>
    </cfRule>
  </conditionalFormatting>
  <conditionalFormatting sqref="I158:J158">
    <cfRule type="cellIs" dxfId="71" priority="71" operator="equal">
      <formula>"nc-"</formula>
    </cfRule>
    <cfRule type="cellIs" dxfId="70" priority="70" operator="equal">
      <formula>"OK"</formula>
    </cfRule>
    <cfRule type="cellIs" dxfId="69" priority="72" operator="equal">
      <formula>"NC+"</formula>
    </cfRule>
    <cfRule type="cellIs" dxfId="68" priority="69" operator="equal">
      <formula>"OFI"</formula>
    </cfRule>
  </conditionalFormatting>
  <conditionalFormatting sqref="I160:J160">
    <cfRule type="cellIs" dxfId="67" priority="66" operator="equal">
      <formula>"OK"</formula>
    </cfRule>
    <cfRule type="cellIs" dxfId="66" priority="65" operator="equal">
      <formula>"OFI"</formula>
    </cfRule>
    <cfRule type="cellIs" dxfId="65" priority="68" operator="equal">
      <formula>"NC+"</formula>
    </cfRule>
    <cfRule type="cellIs" dxfId="64" priority="67" operator="equal">
      <formula>"nc-"</formula>
    </cfRule>
  </conditionalFormatting>
  <conditionalFormatting sqref="I162:J162">
    <cfRule type="cellIs" dxfId="63" priority="62" operator="equal">
      <formula>"OK"</formula>
    </cfRule>
    <cfRule type="cellIs" dxfId="62" priority="61" operator="equal">
      <formula>"OFI"</formula>
    </cfRule>
    <cfRule type="cellIs" dxfId="61" priority="64" operator="equal">
      <formula>"NC+"</formula>
    </cfRule>
    <cfRule type="cellIs" dxfId="60" priority="63" operator="equal">
      <formula>"nc-"</formula>
    </cfRule>
  </conditionalFormatting>
  <conditionalFormatting sqref="I164:J164">
    <cfRule type="cellIs" dxfId="59" priority="60" operator="equal">
      <formula>"NC+"</formula>
    </cfRule>
    <cfRule type="cellIs" dxfId="58" priority="59" operator="equal">
      <formula>"nc-"</formula>
    </cfRule>
    <cfRule type="cellIs" dxfId="57" priority="58" operator="equal">
      <formula>"OK"</formula>
    </cfRule>
    <cfRule type="cellIs" dxfId="56" priority="57" operator="equal">
      <formula>"OFI"</formula>
    </cfRule>
  </conditionalFormatting>
  <conditionalFormatting sqref="I166:J166">
    <cfRule type="cellIs" dxfId="55" priority="56" operator="equal">
      <formula>"NC+"</formula>
    </cfRule>
    <cfRule type="cellIs" dxfId="54" priority="55" operator="equal">
      <formula>"nc-"</formula>
    </cfRule>
    <cfRule type="cellIs" dxfId="53" priority="54" operator="equal">
      <formula>"OK"</formula>
    </cfRule>
    <cfRule type="cellIs" dxfId="52" priority="53" operator="equal">
      <formula>"OFI"</formula>
    </cfRule>
  </conditionalFormatting>
  <conditionalFormatting sqref="I168:J168">
    <cfRule type="cellIs" dxfId="51" priority="52" operator="equal">
      <formula>"NC+"</formula>
    </cfRule>
    <cfRule type="cellIs" dxfId="50" priority="51" operator="equal">
      <formula>"nc-"</formula>
    </cfRule>
    <cfRule type="cellIs" dxfId="49" priority="50" operator="equal">
      <formula>"OK"</formula>
    </cfRule>
    <cfRule type="cellIs" dxfId="48" priority="49" operator="equal">
      <formula>"OFI"</formula>
    </cfRule>
  </conditionalFormatting>
  <conditionalFormatting sqref="I170:J170">
    <cfRule type="cellIs" dxfId="47" priority="48" operator="equal">
      <formula>"NC+"</formula>
    </cfRule>
    <cfRule type="cellIs" dxfId="46" priority="47" operator="equal">
      <formula>"nc-"</formula>
    </cfRule>
    <cfRule type="cellIs" dxfId="45" priority="46" operator="equal">
      <formula>"OK"</formula>
    </cfRule>
    <cfRule type="cellIs" dxfId="44" priority="45" operator="equal">
      <formula>"OFI"</formula>
    </cfRule>
  </conditionalFormatting>
  <conditionalFormatting sqref="I172:J172">
    <cfRule type="cellIs" dxfId="43" priority="44" operator="equal">
      <formula>"NC+"</formula>
    </cfRule>
    <cfRule type="cellIs" dxfId="42" priority="43" operator="equal">
      <formula>"nc-"</formula>
    </cfRule>
    <cfRule type="cellIs" dxfId="41" priority="42" operator="equal">
      <formula>"OK"</formula>
    </cfRule>
    <cfRule type="cellIs" dxfId="40" priority="41" operator="equal">
      <formula>"OFI"</formula>
    </cfRule>
  </conditionalFormatting>
  <conditionalFormatting sqref="I174:J174">
    <cfRule type="cellIs" dxfId="39" priority="40" operator="equal">
      <formula>"NC+"</formula>
    </cfRule>
    <cfRule type="cellIs" dxfId="38" priority="39" operator="equal">
      <formula>"nc-"</formula>
    </cfRule>
    <cfRule type="cellIs" dxfId="37" priority="38" operator="equal">
      <formula>"OK"</formula>
    </cfRule>
    <cfRule type="cellIs" dxfId="36" priority="37" operator="equal">
      <formula>"OFI"</formula>
    </cfRule>
  </conditionalFormatting>
  <conditionalFormatting sqref="I176:J176">
    <cfRule type="cellIs" dxfId="35" priority="36" operator="equal">
      <formula>"NC+"</formula>
    </cfRule>
    <cfRule type="cellIs" dxfId="34" priority="35" operator="equal">
      <formula>"nc-"</formula>
    </cfRule>
    <cfRule type="cellIs" dxfId="33" priority="34" operator="equal">
      <formula>"OK"</formula>
    </cfRule>
    <cfRule type="cellIs" dxfId="32" priority="33" operator="equal">
      <formula>"OFI"</formula>
    </cfRule>
  </conditionalFormatting>
  <conditionalFormatting sqref="I178:J178">
    <cfRule type="cellIs" dxfId="31" priority="30" operator="equal">
      <formula>"OK"</formula>
    </cfRule>
    <cfRule type="cellIs" dxfId="30" priority="29" operator="equal">
      <formula>"OFI"</formula>
    </cfRule>
    <cfRule type="cellIs" dxfId="29" priority="32" operator="equal">
      <formula>"NC+"</formula>
    </cfRule>
    <cfRule type="cellIs" dxfId="28" priority="31" operator="equal">
      <formula>"nc-"</formula>
    </cfRule>
  </conditionalFormatting>
  <conditionalFormatting sqref="I180:J180">
    <cfRule type="cellIs" dxfId="27" priority="26" operator="equal">
      <formula>"OK"</formula>
    </cfRule>
    <cfRule type="cellIs" dxfId="26" priority="25" operator="equal">
      <formula>"OFI"</formula>
    </cfRule>
    <cfRule type="cellIs" dxfId="25" priority="28" operator="equal">
      <formula>"NC+"</formula>
    </cfRule>
    <cfRule type="cellIs" dxfId="24" priority="27" operator="equal">
      <formula>"nc-"</formula>
    </cfRule>
  </conditionalFormatting>
  <conditionalFormatting sqref="I182:J182">
    <cfRule type="cellIs" dxfId="23" priority="24" operator="equal">
      <formula>"NC+"</formula>
    </cfRule>
    <cfRule type="cellIs" dxfId="22" priority="23" operator="equal">
      <formula>"nc-"</formula>
    </cfRule>
    <cfRule type="cellIs" dxfId="21" priority="22" operator="equal">
      <formula>"OK"</formula>
    </cfRule>
    <cfRule type="cellIs" dxfId="20" priority="21" operator="equal">
      <formula>"OFI"</formula>
    </cfRule>
  </conditionalFormatting>
  <conditionalFormatting sqref="I184:J184">
    <cfRule type="cellIs" dxfId="19" priority="20" operator="equal">
      <formula>"NC+"</formula>
    </cfRule>
    <cfRule type="cellIs" dxfId="18" priority="19" operator="equal">
      <formula>"nc-"</formula>
    </cfRule>
    <cfRule type="cellIs" dxfId="17" priority="18" operator="equal">
      <formula>"OK"</formula>
    </cfRule>
    <cfRule type="cellIs" dxfId="16" priority="17" operator="equal">
      <formula>"OFI"</formula>
    </cfRule>
  </conditionalFormatting>
  <conditionalFormatting sqref="I186:J186">
    <cfRule type="cellIs" dxfId="15" priority="15" operator="equal">
      <formula>"nc-"</formula>
    </cfRule>
    <cfRule type="cellIs" dxfId="14" priority="14" operator="equal">
      <formula>"OK"</formula>
    </cfRule>
    <cfRule type="cellIs" dxfId="13" priority="13" operator="equal">
      <formula>"OFI"</formula>
    </cfRule>
    <cfRule type="cellIs" dxfId="12" priority="16" operator="equal">
      <formula>"NC+"</formula>
    </cfRule>
  </conditionalFormatting>
  <conditionalFormatting sqref="I188:J188">
    <cfRule type="cellIs" dxfId="11" priority="12" operator="equal">
      <formula>"NC+"</formula>
    </cfRule>
    <cfRule type="cellIs" dxfId="10" priority="11" operator="equal">
      <formula>"nc-"</formula>
    </cfRule>
    <cfRule type="cellIs" dxfId="9" priority="10" operator="equal">
      <formula>"OK"</formula>
    </cfRule>
    <cfRule type="cellIs" dxfId="8" priority="9" operator="equal">
      <formula>"OFI"</formula>
    </cfRule>
  </conditionalFormatting>
  <conditionalFormatting sqref="I190:J190">
    <cfRule type="cellIs" dxfId="7" priority="8" operator="equal">
      <formula>"NC+"</formula>
    </cfRule>
    <cfRule type="cellIs" dxfId="6" priority="6" operator="equal">
      <formula>"OK"</formula>
    </cfRule>
    <cfRule type="cellIs" dxfId="5" priority="5" operator="equal">
      <formula>"OFI"</formula>
    </cfRule>
    <cfRule type="cellIs" dxfId="4" priority="7" operator="equal">
      <formula>"nc-"</formula>
    </cfRule>
  </conditionalFormatting>
  <conditionalFormatting sqref="I192:J192">
    <cfRule type="cellIs" dxfId="3" priority="1" operator="equal">
      <formula>"OFI"</formula>
    </cfRule>
    <cfRule type="cellIs" dxfId="2" priority="4" operator="equal">
      <formula>"NC+"</formula>
    </cfRule>
    <cfRule type="cellIs" dxfId="1" priority="3" operator="equal">
      <formula>"nc-"</formula>
    </cfRule>
    <cfRule type="cellIs" dxfId="0" priority="2" operator="equal">
      <formula>"OK"</formula>
    </cfRule>
  </conditionalFormatting>
  <dataValidations count="4">
    <dataValidation type="list" allowBlank="1" showInputMessage="1" showErrorMessage="1" sqref="I5 I7 I180 I182 I184 I186 I188 I190 I31 I33 I9 I11 I13 I15 I17 I19 I21 I23 I25 I27 I29 I178 I176 I174 I172 I170 I168 I166 I164 I162 I160 I158 I156 I154 I152 I150 I148 I146 I144 I142 I140 I138 I136 I134 I132 I130 I128 I126 I123 I121 I119 I117 I115 I113 I111 I109 I107 I105 I103 I101 I99 I97 I94 I92 I90 I88 I86 I84 I82 I80 I77 I75 I73 I71 I69 I67 I65 I63 I61 I59 I57 I55 I53 I51 I49 I47 I45 I43 I41 I39 I37 I35 I192" xr:uid="{6F3011CD-D50D-459E-9B7A-E84186607632}">
      <formula1>$H$195:$H$200</formula1>
    </dataValidation>
    <dataValidation type="list" allowBlank="1" showInputMessage="1" showErrorMessage="1" sqref="D119 D188 D190 D180 D186 D182 D184 D178 D176 D174 D172 D170 D168 D166 D164 D162 D160 D158 D156 D5 D7 D9 D11 D13 D15 D17 D19 D21 D23 D25 D27 D29 D31 D33 D35 D37 D39 D41 D43 D45 D47 D49 D51 D53 D55 D57 D59 D61 D63 D65 D67 D69 D71 D73 D75 D77 D80 D82 D84 D86 D88 D90 D92 D94 D97 D99 D101 D103 D105 D107 D109 D111 D113 D115 D117 D192" xr:uid="{E633C22B-22C8-42F8-A171-43780F531DC3}">
      <formula1>$C$195:$C$197</formula1>
    </dataValidation>
    <dataValidation type="list" allowBlank="1" showInputMessage="1" showErrorMessage="1" sqref="D154 D152 D150 D148 D146 D144 D142 D140 D138 D136 D134 D132 D130 D128 D126 D123 D121" xr:uid="{83C87727-A342-4DCC-A035-7DFDE7E94445}">
      <formula1>"Included,Excluded"</formula1>
    </dataValidation>
    <dataValidation type="list" allowBlank="1" showInputMessage="1" showErrorMessage="1" sqref="V5 V7 V9 V11 V13 V15 V17 V19 V21 V23 V25 V27 V29 V31 V33 V35 V37 V39 V41 V43 V45 V47 V49 V51 V53 V55 V59 V57 V61 V63 V65 V67 V69 V71 V73 V75 V77 V80 V82 V84 V86 V88 V90 V92 V94 V97 V99 V101 V103 V105 V107 V109 V111 V113 V115 V117 V119 V121 V123 V126 V128 V130 V132 V134 V136 V138 V140 V142 V144 V146 V192 V190 V188 V186 V184 V182 V180 V178 V174 V176 V172 V168 V166 V170 V164 V162 V160 V158 V156 V154 V150 V148 V152" xr:uid="{1E18D5F7-020F-40D2-BCF6-3882B9EE13BD}">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3222-5283-4BE7-ACFF-5B70C3127BBD}">
  <dimension ref="A1:B29"/>
  <sheetViews>
    <sheetView workbookViewId="0"/>
  </sheetViews>
  <sheetFormatPr defaultRowHeight="14.4" x14ac:dyDescent="0.3"/>
  <cols>
    <col min="1" max="1" width="33.33203125" bestFit="1" customWidth="1"/>
  </cols>
  <sheetData>
    <row r="1" spans="1:2" x14ac:dyDescent="0.3">
      <c r="A1" s="46" t="s">
        <v>134</v>
      </c>
      <c r="B1" s="46" t="s">
        <v>146</v>
      </c>
    </row>
    <row r="2" spans="1:2" x14ac:dyDescent="0.3">
      <c r="A2" t="s">
        <v>135</v>
      </c>
      <c r="B2" t="s">
        <v>147</v>
      </c>
    </row>
    <row r="3" spans="1:2" x14ac:dyDescent="0.3">
      <c r="A3" t="s">
        <v>136</v>
      </c>
      <c r="B3" t="s">
        <v>86</v>
      </c>
    </row>
    <row r="4" spans="1:2" x14ac:dyDescent="0.3">
      <c r="A4" t="s">
        <v>137</v>
      </c>
    </row>
    <row r="5" spans="1:2" x14ac:dyDescent="0.3">
      <c r="A5" t="s">
        <v>138</v>
      </c>
    </row>
    <row r="6" spans="1:2" x14ac:dyDescent="0.3">
      <c r="A6" t="s">
        <v>148</v>
      </c>
    </row>
    <row r="29" ht="13.95" customHeight="1" x14ac:dyDescent="0.3"/>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7F6E45884F014A8D3F5A7681BEBEB2" ma:contentTypeVersion="10" ma:contentTypeDescription="Een nieuw document maken." ma:contentTypeScope="" ma:versionID="c7ace7d5f52736221751bac3a0597c3e">
  <xsd:schema xmlns:xsd="http://www.w3.org/2001/XMLSchema" xmlns:xs="http://www.w3.org/2001/XMLSchema" xmlns:p="http://schemas.microsoft.com/office/2006/metadata/properties" xmlns:ns2="cf8b8fda-94d2-4e9e-88e6-4f43b3fb9be3" xmlns:ns3="44eeb122-c776-4b6e-b615-e20dbecb008e" targetNamespace="http://schemas.microsoft.com/office/2006/metadata/properties" ma:root="true" ma:fieldsID="b9cad032653275cf634fc70499776107" ns2:_="" ns3:_="">
    <xsd:import namespace="cf8b8fda-94d2-4e9e-88e6-4f43b3fb9be3"/>
    <xsd:import namespace="44eeb122-c776-4b6e-b615-e20dbecb008e"/>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8b8fda-94d2-4e9e-88e6-4f43b3fb9be3" elementFormDefault="qualified">
    <xsd:import namespace="http://schemas.microsoft.com/office/2006/documentManagement/types"/>
    <xsd:import namespace="http://schemas.microsoft.com/office/infopath/2007/PartnerControls"/>
    <xsd:element name="SharedWithUsers" ma:index="8" nillable="true" ma:displayName="Gedeeld met"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description="" ma:internalName="SharedWithDetails" ma:readOnly="true">
      <xsd:simpleType>
        <xsd:restriction base="dms:Note">
          <xsd:maxLength value="255"/>
        </xsd:restriction>
      </xsd:simpleType>
    </xsd:element>
    <xsd:element name="LastSharedByUser" ma:index="10" nillable="true" ma:displayName="Laatst gedeeld, per gebruiker" ma:description="" ma:internalName="LastSharedByUser" ma:readOnly="true">
      <xsd:simpleType>
        <xsd:restriction base="dms:Note">
          <xsd:maxLength value="255"/>
        </xsd:restriction>
      </xsd:simpleType>
    </xsd:element>
    <xsd:element name="LastSharedByTime" ma:index="11" nillable="true" ma:displayName="Laatst gedeeld, per tijdstip"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4eeb122-c776-4b6e-b615-e20dbecb008e"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descrip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6D6D79-9E00-4B6F-9FF6-E041541F7EA5}">
  <ds:schemaRefs>
    <ds:schemaRef ds:uri="http://schemas.microsoft.com/sharepoint/v3/contenttype/forms"/>
  </ds:schemaRefs>
</ds:datastoreItem>
</file>

<file path=customXml/itemProps2.xml><?xml version="1.0" encoding="utf-8"?>
<ds:datastoreItem xmlns:ds="http://schemas.openxmlformats.org/officeDocument/2006/customXml" ds:itemID="{B08CFDD6-4E1A-43FE-A2A1-8C4C057278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8b8fda-94d2-4e9e-88e6-4f43b3fb9be3"/>
    <ds:schemaRef ds:uri="44eeb122-c776-4b6e-b615-e20dbecb00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5AF153-9E8A-42BA-A25F-E4F04C778B8C}">
  <ds:schemaRefs>
    <ds:schemaRef ds:uri="http://purl.org/dc/elements/1.1/"/>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44eeb122-c776-4b6e-b615-e20dbecb008e"/>
    <ds:schemaRef ds:uri="cf8b8fda-94d2-4e9e-88e6-4f43b3fb9be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Front page</vt:lpstr>
      <vt:lpstr>User Manual</vt:lpstr>
      <vt:lpstr>Essential Audit Data</vt:lpstr>
      <vt:lpstr>Quick Overview Results</vt:lpstr>
      <vt:lpstr>Checklist Mgmt Clauses</vt:lpstr>
      <vt:lpstr>Checklist Annex Controls</vt:lpstr>
      <vt:lpstr>Lookup Tables</vt:lpstr>
    </vt:vector>
  </TitlesOfParts>
  <Manager/>
  <Company>QMA / Quest For Security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Mathuvis / Peter Geelen</dc:creator>
  <cp:keywords/>
  <dc:description/>
  <cp:lastModifiedBy>Peter Geelen</cp:lastModifiedBy>
  <cp:revision/>
  <dcterms:created xsi:type="dcterms:W3CDTF">2017-12-27T17:26:12Z</dcterms:created>
  <dcterms:modified xsi:type="dcterms:W3CDTF">2025-10-16T08:04:52Z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0x010100157F6E45884F014A8D3F5A7681BEBEB2</vt:lpwstr>
  </property>
</Properties>
</file>