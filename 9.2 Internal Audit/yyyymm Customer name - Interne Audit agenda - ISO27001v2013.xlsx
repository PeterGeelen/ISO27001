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estforsecurity-my.sharepoint.com/personal/peter_questforsecurity_be/Documents/My Templates/ISO27001/9.2 Internal Audit Support/"/>
    </mc:Choice>
  </mc:AlternateContent>
  <xr:revisionPtr revIDLastSave="1000" documentId="13_ncr:1_{46B7AA34-F51F-4E56-8DAC-4D4EF1BD24FB}" xr6:coauthVersionLast="47" xr6:coauthVersionMax="47" xr10:uidLastSave="{01C8C01A-4156-4FE6-A03C-47F440FC0759}"/>
  <bookViews>
    <workbookView minimized="1" xWindow="6600" yWindow="-15405" windowWidth="17280" windowHeight="8880" tabRatio="829" activeTab="1" xr2:uid="{CD4059AE-09E6-4ED1-A801-C307B8C3BABA}"/>
  </bookViews>
  <sheets>
    <sheet name="Teams" sheetId="6" r:id="rId1"/>
    <sheet name="Control to team mapping" sheetId="5" r:id="rId2"/>
    <sheet name="Advanced Team control mapping" sheetId="11" r:id="rId3"/>
    <sheet name="Interne Audit yyyymmdd (DAY1)" sheetId="1" r:id="rId4"/>
    <sheet name="Interne Audit yyyymmdd (DAY2)" sheetId="9" r:id="rId5"/>
    <sheet name="Audit Cycle plan" sheetId="3" r:id="rId6"/>
    <sheet name="Lists" sheetId="10" r:id="rId7"/>
  </sheets>
  <definedNames>
    <definedName name="_xlnm._FilterDatabase" localSheetId="2" hidden="1">'Advanced Team control mapping'!$A$6:$BO$6</definedName>
    <definedName name="_xlnm._FilterDatabase" localSheetId="1" hidden="1">'Control to team mapping'!$A$2:$W$79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0" i="5" l="1"/>
  <c r="U29" i="5"/>
  <c r="U28" i="5"/>
  <c r="A3" i="6"/>
  <c r="U6" i="5"/>
  <c r="U3" i="5"/>
  <c r="U8" i="5"/>
  <c r="A14" i="6" l="1"/>
  <c r="A13" i="6"/>
  <c r="A12" i="6"/>
  <c r="A11" i="6"/>
  <c r="A10" i="6"/>
  <c r="A9" i="6"/>
  <c r="A8" i="6"/>
  <c r="A7" i="6"/>
  <c r="A6" i="6"/>
  <c r="A5" i="6"/>
  <c r="A15" i="6"/>
  <c r="A16" i="6"/>
  <c r="A17" i="6"/>
  <c r="A4" i="6"/>
  <c r="J6" i="11"/>
  <c r="I22" i="11"/>
  <c r="I26" i="11"/>
  <c r="I23" i="11"/>
  <c r="I36" i="11"/>
  <c r="I19" i="11"/>
  <c r="I38" i="11"/>
  <c r="I37" i="11"/>
  <c r="I35" i="11"/>
  <c r="I34" i="11"/>
  <c r="I33" i="11"/>
  <c r="I32" i="11"/>
  <c r="I31" i="11"/>
  <c r="I30" i="11"/>
  <c r="I29" i="11"/>
  <c r="I28" i="11"/>
  <c r="I27" i="11"/>
  <c r="I18" i="11"/>
  <c r="I17" i="11"/>
  <c r="I24" i="11"/>
  <c r="I21" i="11"/>
  <c r="I20" i="11"/>
  <c r="I25" i="11"/>
  <c r="I16" i="11"/>
  <c r="I13" i="11"/>
  <c r="I12" i="11"/>
  <c r="I14" i="11"/>
  <c r="I15" i="11"/>
  <c r="I11" i="11"/>
  <c r="I10" i="11"/>
  <c r="I9" i="11"/>
  <c r="I8" i="11"/>
  <c r="I7" i="11"/>
  <c r="BN6" i="11"/>
  <c r="BM6" i="11"/>
  <c r="BL6" i="11"/>
  <c r="BK6" i="11"/>
  <c r="BJ6" i="11"/>
  <c r="BI6" i="11"/>
  <c r="BH6" i="11"/>
  <c r="BG6" i="11"/>
  <c r="BF6" i="11"/>
  <c r="BE6" i="11"/>
  <c r="BD6" i="11"/>
  <c r="BC6" i="11"/>
  <c r="BB6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4" i="11"/>
  <c r="AZ4" i="11"/>
  <c r="Z4" i="11"/>
  <c r="BN4" i="11"/>
  <c r="BM4" i="11"/>
  <c r="BL4" i="11"/>
  <c r="BK4" i="11"/>
  <c r="BJ4" i="11"/>
  <c r="BI4" i="11"/>
  <c r="BH4" i="11"/>
  <c r="BG4" i="11"/>
  <c r="BF4" i="11"/>
  <c r="BE4" i="11"/>
  <c r="BD4" i="11"/>
  <c r="BC4" i="11"/>
  <c r="BB4" i="11"/>
  <c r="BA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H4" i="11"/>
  <c r="G4" i="11"/>
  <c r="F4" i="11"/>
  <c r="E4" i="11"/>
  <c r="B11" i="9"/>
  <c r="D11" i="9" s="1"/>
  <c r="B10" i="9"/>
  <c r="D10" i="9" s="1"/>
  <c r="D12" i="1"/>
  <c r="D10" i="1"/>
  <c r="B5" i="9"/>
  <c r="D5" i="9" s="1"/>
  <c r="B6" i="9"/>
  <c r="D6" i="9" s="1"/>
  <c r="B7" i="9"/>
  <c r="B8" i="9"/>
  <c r="D8" i="9" s="1"/>
  <c r="B9" i="9"/>
  <c r="D9" i="9" s="1"/>
  <c r="B12" i="9"/>
  <c r="D12" i="9" s="1"/>
  <c r="B4" i="9"/>
  <c r="D4" i="9" s="1"/>
  <c r="B3" i="9"/>
  <c r="D3" i="9" s="1"/>
  <c r="B6" i="1"/>
  <c r="D6" i="1" s="1"/>
  <c r="B7" i="1"/>
  <c r="B8" i="1"/>
  <c r="B9" i="1"/>
  <c r="B10" i="1"/>
  <c r="B11" i="1"/>
  <c r="B5" i="1"/>
  <c r="D5" i="1" s="1"/>
  <c r="B4" i="1"/>
  <c r="D4" i="1" s="1"/>
  <c r="D8" i="1"/>
  <c r="D9" i="1"/>
  <c r="B3" i="1"/>
  <c r="D3" i="1" s="1"/>
  <c r="U79" i="5"/>
  <c r="U78" i="5"/>
  <c r="U77" i="5"/>
  <c r="U76" i="5"/>
  <c r="U75" i="5"/>
  <c r="U74" i="5"/>
  <c r="U73" i="5"/>
  <c r="U72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4" i="5"/>
  <c r="U43" i="5"/>
  <c r="U42" i="5"/>
  <c r="U40" i="5"/>
  <c r="U37" i="5"/>
  <c r="U36" i="5"/>
  <c r="U34" i="5"/>
  <c r="U33" i="5"/>
  <c r="U32" i="5"/>
  <c r="U27" i="5"/>
  <c r="U26" i="5"/>
  <c r="U25" i="5"/>
  <c r="U24" i="5"/>
  <c r="U23" i="5"/>
  <c r="U21" i="5"/>
  <c r="U17" i="5"/>
  <c r="U15" i="5"/>
  <c r="U14" i="5"/>
  <c r="U13" i="5"/>
  <c r="U11" i="5"/>
  <c r="U10" i="5"/>
  <c r="U9" i="5"/>
  <c r="V7" i="5" s="1"/>
  <c r="U5" i="5"/>
  <c r="U4" i="5"/>
  <c r="E17" i="3"/>
  <c r="D17" i="3"/>
  <c r="C17" i="3"/>
  <c r="B17" i="3"/>
  <c r="I4" i="11" l="1"/>
  <c r="D13" i="9"/>
</calcChain>
</file>

<file path=xl/sharedStrings.xml><?xml version="1.0" encoding="utf-8"?>
<sst xmlns="http://schemas.openxmlformats.org/spreadsheetml/2006/main" count="1254" uniqueCount="320">
  <si>
    <t>Initial Audit (Y0)</t>
  </si>
  <si>
    <t>Surveillance 1 (Y0+1)</t>
  </si>
  <si>
    <t>Surveillance 2 (Y0+2)</t>
  </si>
  <si>
    <t>Recert (Y0+3))</t>
  </si>
  <si>
    <t>Departments</t>
  </si>
  <si>
    <t>Management</t>
  </si>
  <si>
    <t>IT</t>
  </si>
  <si>
    <t>Finance &amp; Legal</t>
  </si>
  <si>
    <t>HR &amp; Office management</t>
  </si>
  <si>
    <t>Marketing</t>
  </si>
  <si>
    <t>Product</t>
  </si>
  <si>
    <t>Quality &amp; Regulatory</t>
  </si>
  <si>
    <t>Customer Service Delivery</t>
  </si>
  <si>
    <t>Customer Service Support</t>
  </si>
  <si>
    <t>Main Clauses</t>
  </si>
  <si>
    <t>ISO27001 Annex</t>
  </si>
  <si>
    <t>X</t>
  </si>
  <si>
    <t xml:space="preserve">Sales </t>
  </si>
  <si>
    <t>Sales - Customer Succes</t>
  </si>
  <si>
    <t>Security officer / ISMS Project</t>
  </si>
  <si>
    <t>Physical Security</t>
  </si>
  <si>
    <t>Internal audit Coverage</t>
  </si>
  <si>
    <t>ISO27001 Clauses &amp; Annex</t>
  </si>
  <si>
    <t>Day</t>
  </si>
  <si>
    <t>From</t>
  </si>
  <si>
    <t>Until</t>
  </si>
  <si>
    <t>Location</t>
  </si>
  <si>
    <t>Subject/Process</t>
  </si>
  <si>
    <t>Unit/Department</t>
  </si>
  <si>
    <t>Participants</t>
  </si>
  <si>
    <t>Auditors</t>
  </si>
  <si>
    <t>Remote</t>
  </si>
  <si>
    <t>Arrival of auditors</t>
  </si>
  <si>
    <t>ISO 27001:2013</t>
  </si>
  <si>
    <t>Opening meeting</t>
  </si>
  <si>
    <t>All audit participants</t>
  </si>
  <si>
    <t>A.15.1; A.15.2; A.18.1; A.18.2; A15.1</t>
  </si>
  <si>
    <t>Summary of the day</t>
  </si>
  <si>
    <t>Development Management</t>
  </si>
  <si>
    <t>7.1; 8.1; A.7.1; A.7.2; A.7.3</t>
  </si>
  <si>
    <t>7.4; 7.5; 8.1; 8.2; 8.3; 9.1; A.8.1; A.8.2; A.8.3; A.9.1; A.9.2; A.9.3; A.9.4; A.12.1; A.12.2; A.12.3; A.12.4; A.12.5; A.12.6; A.12.7; A.13.1; A.13.2; A.16.1; A.17.1; A.17.2</t>
  </si>
  <si>
    <t>Preparation of closing meeting</t>
  </si>
  <si>
    <t>Closing meeting</t>
  </si>
  <si>
    <t>Standard</t>
  </si>
  <si>
    <t>IT Operations &amp; Support</t>
  </si>
  <si>
    <t>Members to interview</t>
  </si>
  <si>
    <t>Responsible</t>
  </si>
  <si>
    <t>Duration</t>
  </si>
  <si>
    <t>TBC</t>
  </si>
  <si>
    <t>Auditor</t>
  </si>
  <si>
    <t>Break</t>
  </si>
  <si>
    <t>ISO27001 Reference</t>
  </si>
  <si>
    <t xml:space="preserve">Tour of the premises &amp; Management </t>
  </si>
  <si>
    <t>A.11</t>
  </si>
  <si>
    <t xml:space="preserve">Management </t>
  </si>
  <si>
    <t>4.1; 4.2; 4.3; 4.4; 5.1; 5.2; 5.3; 6.1; 6.2; 9.2; 9.3; 10.1; 10.2; A.5.1; A.6.1; A.6.2; 6.3</t>
  </si>
  <si>
    <t>IT Operations and support</t>
  </si>
  <si>
    <t>Finance, Legal &amp; Contract Management</t>
  </si>
  <si>
    <t>End of day 1</t>
  </si>
  <si>
    <t>ISMS Project</t>
  </si>
  <si>
    <t>Sales</t>
  </si>
  <si>
    <t>A.18.1; A.18.2;</t>
  </si>
  <si>
    <t xml:space="preserve">4.1 </t>
  </si>
  <si>
    <t>Context of organisation</t>
  </si>
  <si>
    <t xml:space="preserve">4.2 </t>
  </si>
  <si>
    <t>Interested parties</t>
  </si>
  <si>
    <t xml:space="preserve">4.3 </t>
  </si>
  <si>
    <t>Scope</t>
  </si>
  <si>
    <t xml:space="preserve">4.4 </t>
  </si>
  <si>
    <t>ISMS</t>
  </si>
  <si>
    <t xml:space="preserve">5.1 </t>
  </si>
  <si>
    <t>Leadership and commitment</t>
  </si>
  <si>
    <t xml:space="preserve">5.2 </t>
  </si>
  <si>
    <t>Policy</t>
  </si>
  <si>
    <t xml:space="preserve">5.3 </t>
  </si>
  <si>
    <t>Organization</t>
  </si>
  <si>
    <t xml:space="preserve">6.1 </t>
  </si>
  <si>
    <t>Risk management</t>
  </si>
  <si>
    <t xml:space="preserve">6.2 </t>
  </si>
  <si>
    <t xml:space="preserve">Infosec objectives </t>
  </si>
  <si>
    <t xml:space="preserve">7.1 </t>
  </si>
  <si>
    <t>Resources</t>
  </si>
  <si>
    <t xml:space="preserve">7.2 </t>
  </si>
  <si>
    <t>Competence</t>
  </si>
  <si>
    <t xml:space="preserve">7.3 </t>
  </si>
  <si>
    <t>Awareness</t>
  </si>
  <si>
    <t xml:space="preserve">7.4 </t>
  </si>
  <si>
    <t>Communication</t>
  </si>
  <si>
    <t xml:space="preserve">7.5 </t>
  </si>
  <si>
    <t>Documentation</t>
  </si>
  <si>
    <t xml:space="preserve">8.1 </t>
  </si>
  <si>
    <t xml:space="preserve">Operational planning </t>
  </si>
  <si>
    <t xml:space="preserve">8.2 </t>
  </si>
  <si>
    <t>Risk assessment</t>
  </si>
  <si>
    <t xml:space="preserve">8.3 </t>
  </si>
  <si>
    <t>Risk treatment</t>
  </si>
  <si>
    <t xml:space="preserve">9.1 </t>
  </si>
  <si>
    <t>Performance Monitoring</t>
  </si>
  <si>
    <t xml:space="preserve">9.2 </t>
  </si>
  <si>
    <t>Internal Audit</t>
  </si>
  <si>
    <t xml:space="preserve">9.3 </t>
  </si>
  <si>
    <t>Management Review</t>
  </si>
  <si>
    <t xml:space="preserve">10.1 </t>
  </si>
  <si>
    <t>Non-conformity</t>
  </si>
  <si>
    <t xml:space="preserve">10.2 </t>
  </si>
  <si>
    <t>Continual Improvement</t>
  </si>
  <si>
    <t xml:space="preserve">A.5.1 </t>
  </si>
  <si>
    <t>Infosec Policies</t>
  </si>
  <si>
    <t xml:space="preserve">A.6.1 </t>
  </si>
  <si>
    <t>Internal organisation</t>
  </si>
  <si>
    <t xml:space="preserve">A.6.2 </t>
  </si>
  <si>
    <t>Mobile devices and telework</t>
  </si>
  <si>
    <t xml:space="preserve">A.7.1 </t>
  </si>
  <si>
    <t>HR Prior to employment</t>
  </si>
  <si>
    <t xml:space="preserve">A.7.2 </t>
  </si>
  <si>
    <t>HR during employment</t>
  </si>
  <si>
    <t xml:space="preserve">A.7.3 </t>
  </si>
  <si>
    <t>HR Termination or change</t>
  </si>
  <si>
    <t xml:space="preserve">A.8.1 </t>
  </si>
  <si>
    <t>Asset Ownership</t>
  </si>
  <si>
    <t xml:space="preserve">A.8.2 </t>
  </si>
  <si>
    <t>Information Classification</t>
  </si>
  <si>
    <t xml:space="preserve">A.8.3 </t>
  </si>
  <si>
    <t>Media handling</t>
  </si>
  <si>
    <t xml:space="preserve">A.9.1 </t>
  </si>
  <si>
    <t>Access control / Business</t>
  </si>
  <si>
    <t xml:space="preserve">A.9.2 </t>
  </si>
  <si>
    <t>User access Management</t>
  </si>
  <si>
    <t xml:space="preserve">A.9.3 </t>
  </si>
  <si>
    <t>User Responsibilities</t>
  </si>
  <si>
    <t xml:space="preserve">A.9.4 </t>
  </si>
  <si>
    <t>System and Appl access control</t>
  </si>
  <si>
    <t xml:space="preserve">A.10.1 </t>
  </si>
  <si>
    <t>Crypto</t>
  </si>
  <si>
    <t xml:space="preserve">A.11.1 </t>
  </si>
  <si>
    <t>Secure Areas</t>
  </si>
  <si>
    <t xml:space="preserve">A.11.2 </t>
  </si>
  <si>
    <t>Equipment</t>
  </si>
  <si>
    <t xml:space="preserve">A.12.1 </t>
  </si>
  <si>
    <t>Operaional procedures</t>
  </si>
  <si>
    <t xml:space="preserve">A.12.2 </t>
  </si>
  <si>
    <t>Malware protection</t>
  </si>
  <si>
    <t xml:space="preserve">A.12.3 </t>
  </si>
  <si>
    <t>Backup</t>
  </si>
  <si>
    <t xml:space="preserve">A.12.4 </t>
  </si>
  <si>
    <t>Logging and monitoring</t>
  </si>
  <si>
    <t xml:space="preserve">A.12.5 </t>
  </si>
  <si>
    <t>Control of operational software</t>
  </si>
  <si>
    <t xml:space="preserve">A.12.6 </t>
  </si>
  <si>
    <t>Tech Vulnerability Management</t>
  </si>
  <si>
    <t xml:space="preserve">A.12.7 </t>
  </si>
  <si>
    <t xml:space="preserve">Info systems Audit </t>
  </si>
  <si>
    <t xml:space="preserve">A.13.1 </t>
  </si>
  <si>
    <t>Network security</t>
  </si>
  <si>
    <t xml:space="preserve">A.13.2 </t>
  </si>
  <si>
    <t>Information transfer</t>
  </si>
  <si>
    <t xml:space="preserve">A.14.1 </t>
  </si>
  <si>
    <t>Sec Requirements of IS</t>
  </si>
  <si>
    <t xml:space="preserve">A.14.2 </t>
  </si>
  <si>
    <t>Sec in dev &amp; support</t>
  </si>
  <si>
    <t xml:space="preserve">A.14.3 </t>
  </si>
  <si>
    <t>Test data</t>
  </si>
  <si>
    <t xml:space="preserve">A.15.1 </t>
  </si>
  <si>
    <t>Information security in supplier relations</t>
  </si>
  <si>
    <t xml:space="preserve">A.15.2 </t>
  </si>
  <si>
    <t>Supplier delivery Management</t>
  </si>
  <si>
    <t xml:space="preserve">A.16.1 </t>
  </si>
  <si>
    <t>Incident management</t>
  </si>
  <si>
    <t xml:space="preserve">A.17.1 </t>
  </si>
  <si>
    <t>Information Security Continuity</t>
  </si>
  <si>
    <t xml:space="preserve">A.17.2 </t>
  </si>
  <si>
    <t>Redundancy</t>
  </si>
  <si>
    <t xml:space="preserve">A.18.1 </t>
  </si>
  <si>
    <t>Compliance</t>
  </si>
  <si>
    <t xml:space="preserve">A.18.2 </t>
  </si>
  <si>
    <t>Security review</t>
  </si>
  <si>
    <t>All</t>
  </si>
  <si>
    <t>7.5, A11</t>
  </si>
  <si>
    <t>6.1 ;7.4 ;7.5 ;8.2 ;8.3 ;9.1 ;10.1 ;10.2 ;A.5.1;</t>
  </si>
  <si>
    <t>6.1 ;7.3 ;7.4 ;7.5 ;8.2 ;8.3 ;9.1 ;A.5.1 ;A.6.2 ;A.8.1 ;A.8.2 ;A.8.3 ;A.9.1 ;A.9.3 ;A.9.4 ;A.11.1 ;A.11.2 ;A.12.1 ;A.12.2 ;A.12.3 ;A.12.4 ;A.12.5 ;A.12.6 ;A.12.7 ;A.13.1 ;A.13.2 ;A.14.1 ;A.14.2 ;A.14.3 ;A.15.1 ;A.15.2 ;A.16.1 ;A.17.1 ;A.17.2 ;A.18.2;</t>
  </si>
  <si>
    <t>6.1 ;7.1 ;7.5 ;8.1 ;A.18.1;</t>
  </si>
  <si>
    <t>7.1 ;7.2 ;7.3 ;7.5 ;9.1 ;A.6.1 ;A.6.2 ;A.7.1 ;A.7.2 ;A.7.3 ;A.9.3;</t>
  </si>
  <si>
    <t>7.5 ;9.1 ;A.13.2</t>
  </si>
  <si>
    <t>7.4; 7.5</t>
  </si>
  <si>
    <t>7.5 ;A.13.2</t>
  </si>
  <si>
    <t>7.4 ;7.5 ;8.2 ;8.3 ;A.13.2 ;A.15.2 ;A.18.1;</t>
  </si>
  <si>
    <t>7.4; 7.5 ;A.13.2</t>
  </si>
  <si>
    <t>HQ</t>
  </si>
  <si>
    <t>Lead/co-auditor name</t>
  </si>
  <si>
    <t>Remote (Y/N)</t>
  </si>
  <si>
    <t>Yes</t>
  </si>
  <si>
    <t>No</t>
  </si>
  <si>
    <t>Lead Auditor name</t>
  </si>
  <si>
    <t>Co-auditor name 1</t>
  </si>
  <si>
    <t>Co-auditor name 2</t>
  </si>
  <si>
    <t>Remote (Yes/No)</t>
  </si>
  <si>
    <t>Participants (Add person names)</t>
  </si>
  <si>
    <t>&lt;other to add&gt;</t>
  </si>
  <si>
    <t>Development</t>
  </si>
  <si>
    <t>A.13.2 ;A.14.1 ;A.14.2 ;A.14.3;</t>
  </si>
  <si>
    <t>7.4 ;7.5 ;</t>
  </si>
  <si>
    <t>Internal audit Coverage (example)</t>
  </si>
  <si>
    <t>ISMS Project / Support</t>
  </si>
  <si>
    <t>HR</t>
  </si>
  <si>
    <t>DPO (Data protection)</t>
  </si>
  <si>
    <t>Finance</t>
  </si>
  <si>
    <t>Responsible for ISMS</t>
  </si>
  <si>
    <t>CISO</t>
  </si>
  <si>
    <t>ISMS team</t>
  </si>
  <si>
    <t>Product Development</t>
  </si>
  <si>
    <t>Quality Management</t>
  </si>
  <si>
    <t>Legal &amp; Regulatory</t>
  </si>
  <si>
    <t>A.18</t>
  </si>
  <si>
    <t>A.14</t>
  </si>
  <si>
    <t>Essential</t>
  </si>
  <si>
    <t>Typically part of IT operations</t>
  </si>
  <si>
    <t>A.16</t>
  </si>
  <si>
    <t>Internal audit</t>
  </si>
  <si>
    <t>Clause 7</t>
  </si>
  <si>
    <t>þ</t>
  </si>
  <si>
    <t>Management team</t>
  </si>
  <si>
    <t>A.12</t>
  </si>
  <si>
    <t>A.13</t>
  </si>
  <si>
    <t>Supplier Management</t>
  </si>
  <si>
    <t>A.18.1</t>
  </si>
  <si>
    <t>Business Support</t>
  </si>
  <si>
    <t>Asset Management</t>
  </si>
  <si>
    <t>A.8</t>
  </si>
  <si>
    <t>Access Control</t>
  </si>
  <si>
    <t>A.9</t>
  </si>
  <si>
    <t>A.15</t>
  </si>
  <si>
    <t>BCM &amp; DRP</t>
  </si>
  <si>
    <t>Clause 6
Clause 8</t>
  </si>
  <si>
    <t>Management Support</t>
  </si>
  <si>
    <t>Importance</t>
  </si>
  <si>
    <t>Clause 4.4</t>
  </si>
  <si>
    <t>Security Operations</t>
  </si>
  <si>
    <t>Clause 9.1 &amp; 9.2</t>
  </si>
  <si>
    <t>Accountability
Clause 9.3</t>
  </si>
  <si>
    <t>Customer Relations</t>
  </si>
  <si>
    <t>MUST</t>
  </si>
  <si>
    <t>OPTIONAL</t>
  </si>
  <si>
    <t>S1 or S2</t>
  </si>
  <si>
    <t>Strategic/High</t>
  </si>
  <si>
    <t>Operational/Low</t>
  </si>
  <si>
    <t>Depends company activity</t>
  </si>
  <si>
    <t>Tactical/Medium</t>
  </si>
  <si>
    <t>Legal team</t>
  </si>
  <si>
    <t>IT / Business</t>
  </si>
  <si>
    <t>Organizational Roles, Resposibilities and authorities</t>
  </si>
  <si>
    <t>Cryptography</t>
  </si>
  <si>
    <t>ISO27001 Main Clauses</t>
  </si>
  <si>
    <t>DPO or Legal team</t>
  </si>
  <si>
    <t>Internal Team</t>
  </si>
  <si>
    <t>Building management/logistics</t>
  </si>
  <si>
    <t>Delivery to customer</t>
  </si>
  <si>
    <t>Clauses/Annex controls covered</t>
  </si>
  <si>
    <t>Sample Department
(You can assign multiple tasks to same team)</t>
  </si>
  <si>
    <t>Risk Governance Team</t>
  </si>
  <si>
    <t>Internal Audit Team</t>
  </si>
  <si>
    <t>Single team/Per department</t>
  </si>
  <si>
    <t>HR Team</t>
  </si>
  <si>
    <t>A.10</t>
  </si>
  <si>
    <t>Software Development</t>
  </si>
  <si>
    <t>Purchase</t>
  </si>
  <si>
    <t>Typical / Possible 
coverage of ISO27001 Clause/Annex</t>
  </si>
  <si>
    <t>A.14/A.12</t>
  </si>
  <si>
    <t>Penetration testing/Tech Review</t>
  </si>
  <si>
    <t>A.18.2</t>
  </si>
  <si>
    <t>A.12.7.1</t>
  </si>
  <si>
    <t>Compliance with Legal and contractual requirement</t>
  </si>
  <si>
    <t>Information Security review</t>
  </si>
  <si>
    <t>Focus Areas
Task/Role 
description</t>
  </si>
  <si>
    <t>Internal IT Incident mgmt</t>
  </si>
  <si>
    <t>IT Help desk / Ticketing</t>
  </si>
  <si>
    <t>IT/Dev Project Mgmt</t>
  </si>
  <si>
    <t>Business Project Management</t>
  </si>
  <si>
    <t>Business/External Facing</t>
  </si>
  <si>
    <t>PRIO</t>
  </si>
  <si>
    <t>Customer help desk &amp; incidents</t>
  </si>
  <si>
    <t>Sec in dev &amp; support processe</t>
  </si>
  <si>
    <t>Software Acquisition &amp; Purchase</t>
  </si>
  <si>
    <t>x</t>
  </si>
  <si>
    <t>6.1.1</t>
  </si>
  <si>
    <t>Risk management - Continual Improvement</t>
  </si>
  <si>
    <t>6.1.2</t>
  </si>
  <si>
    <t xml:space="preserve">Risk assessment </t>
  </si>
  <si>
    <t>6.1.3</t>
  </si>
  <si>
    <t>Risk treatment &amp; SoA</t>
  </si>
  <si>
    <t>7.5.1</t>
  </si>
  <si>
    <t>Documented information available</t>
  </si>
  <si>
    <t>7.5.2</t>
  </si>
  <si>
    <t>Creating &amp; updating documentation</t>
  </si>
  <si>
    <t>7.5.3</t>
  </si>
  <si>
    <t>Document control</t>
  </si>
  <si>
    <t>9.2.1</t>
  </si>
  <si>
    <t xml:space="preserve">General </t>
  </si>
  <si>
    <t>9.2.2</t>
  </si>
  <si>
    <t>Internal audit program</t>
  </si>
  <si>
    <t>Non-conformitity &amp; corrective action</t>
  </si>
  <si>
    <t>Management Team</t>
  </si>
  <si>
    <t>Level</t>
  </si>
  <si>
    <t>Product Management &amp; Service Offering</t>
  </si>
  <si>
    <t>Controls group</t>
  </si>
  <si>
    <t>Customer Support (Incident/Ticketing)</t>
  </si>
  <si>
    <t xml:space="preserve">Commercial &amp; Sales </t>
  </si>
  <si>
    <t>Communication &amp; Marketing</t>
  </si>
  <si>
    <t>GDPR &amp; Privacy</t>
  </si>
  <si>
    <t>Cybersecurity &amp; Cloud$</t>
  </si>
  <si>
    <t>Risk management Planning</t>
  </si>
  <si>
    <t>Operational planning and control</t>
  </si>
  <si>
    <t>A.5</t>
  </si>
  <si>
    <t>Understanding context</t>
  </si>
  <si>
    <t>Leadership</t>
  </si>
  <si>
    <t>Planning</t>
  </si>
  <si>
    <t>Support</t>
  </si>
  <si>
    <t>Operation</t>
  </si>
  <si>
    <t>Performance evaluation</t>
  </si>
  <si>
    <t>Organizational controls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</si>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</sst>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Wingdings"/>
      <charset val="2"/>
    </font>
  </fonts>
  <fills count="19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7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6" fillId="10" borderId="0" applyNumberFormat="0" applyBorder="0" applyAlignment="0" applyProtection="0"/>
    <xf numFmtId="0" fontId="7" fillId="11" borderId="0" applyNumberFormat="0" applyBorder="0" applyAlignment="0" applyProtection="0"/>
    <xf numFmtId="0" fontId="1" fillId="12" borderId="12" applyNumberFormat="0" applyFont="0" applyAlignment="0" applyProtection="0"/>
    <xf numFmtId="0" fontId="8" fillId="13" borderId="0" applyNumberFormat="0" applyBorder="0" applyAlignment="0" applyProtection="0"/>
    <xf numFmtId="0" fontId="1" fillId="17" borderId="0" applyNumberFormat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textRotation="90"/>
    </xf>
    <xf numFmtId="0" fontId="1" fillId="5" borderId="1" xfId="3" applyBorder="1" applyAlignment="1">
      <alignment horizontal="center"/>
    </xf>
    <xf numFmtId="0" fontId="1" fillId="5" borderId="0" xfId="3" applyAlignment="1">
      <alignment horizontal="center"/>
    </xf>
    <xf numFmtId="9" fontId="1" fillId="5" borderId="0" xfId="3" applyNumberFormat="1"/>
    <xf numFmtId="0" fontId="1" fillId="2" borderId="1" xfId="1" applyBorder="1" applyAlignment="1">
      <alignment horizontal="left"/>
    </xf>
    <xf numFmtId="0" fontId="1" fillId="2" borderId="1" xfId="1" applyBorder="1" applyAlignment="1">
      <alignment horizontal="center"/>
    </xf>
    <xf numFmtId="0" fontId="1" fillId="2" borderId="1" xfId="1" applyBorder="1"/>
    <xf numFmtId="0" fontId="1" fillId="4" borderId="1" xfId="2" applyBorder="1" applyAlignment="1">
      <alignment horizontal="left"/>
    </xf>
    <xf numFmtId="0" fontId="1" fillId="4" borderId="1" xfId="2" applyBorder="1" applyAlignment="1">
      <alignment horizontal="center"/>
    </xf>
    <xf numFmtId="0" fontId="1" fillId="4" borderId="1" xfId="2" applyBorder="1"/>
    <xf numFmtId="0" fontId="0" fillId="3" borderId="0" xfId="0" applyFill="1"/>
    <xf numFmtId="164" fontId="0" fillId="0" borderId="0" xfId="0" applyNumberFormat="1"/>
    <xf numFmtId="0" fontId="4" fillId="6" borderId="0" xfId="4"/>
    <xf numFmtId="0" fontId="0" fillId="0" borderId="1" xfId="0" applyBorder="1" applyAlignment="1">
      <alignment horizontal="center" vertical="top" textRotation="90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6" borderId="0" xfId="4" applyAlignment="1">
      <alignment horizontal="left" vertical="top"/>
    </xf>
    <xf numFmtId="164" fontId="4" fillId="6" borderId="0" xfId="4" applyNumberFormat="1" applyAlignment="1">
      <alignment horizontal="left" vertical="top"/>
    </xf>
    <xf numFmtId="0" fontId="4" fillId="6" borderId="0" xfId="4" applyAlignment="1">
      <alignment horizontal="left" vertical="top" wrapText="1"/>
    </xf>
    <xf numFmtId="0" fontId="1" fillId="4" borderId="0" xfId="2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7" borderId="5" xfId="0" applyFill="1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5" xfId="0" applyBorder="1"/>
    <xf numFmtId="0" fontId="0" fillId="0" borderId="9" xfId="0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5" fillId="0" borderId="0" xfId="0" applyFont="1"/>
    <xf numFmtId="0" fontId="0" fillId="0" borderId="6" xfId="0" applyBorder="1" applyAlignment="1">
      <alignment horizontal="left" vertical="top"/>
    </xf>
    <xf numFmtId="0" fontId="1" fillId="8" borderId="1" xfId="3" applyFill="1" applyBorder="1" applyAlignment="1">
      <alignment horizontal="center"/>
    </xf>
    <xf numFmtId="0" fontId="1" fillId="8" borderId="4" xfId="3" applyFill="1" applyBorder="1" applyAlignment="1">
      <alignment horizontal="center"/>
    </xf>
    <xf numFmtId="0" fontId="1" fillId="9" borderId="1" xfId="3" applyFill="1" applyBorder="1" applyAlignment="1">
      <alignment horizontal="center"/>
    </xf>
    <xf numFmtId="0" fontId="1" fillId="9" borderId="1" xfId="1" applyFill="1" applyBorder="1" applyAlignment="1">
      <alignment horizontal="center"/>
    </xf>
    <xf numFmtId="0" fontId="1" fillId="9" borderId="1" xfId="2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2" borderId="1" xfId="1" applyBorder="1" applyAlignment="1" applyProtection="1">
      <alignment horizontal="center"/>
    </xf>
    <xf numFmtId="0" fontId="1" fillId="4" borderId="1" xfId="2" applyBorder="1" applyAlignment="1" applyProtection="1">
      <alignment horizontal="center"/>
    </xf>
    <xf numFmtId="0" fontId="2" fillId="0" borderId="5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left" vertical="center"/>
    </xf>
    <xf numFmtId="0" fontId="1" fillId="5" borderId="5" xfId="3" applyBorder="1" applyAlignment="1" applyProtection="1">
      <alignment horizontal="left" vertical="center" textRotation="90"/>
    </xf>
    <xf numFmtId="0" fontId="1" fillId="5" borderId="5" xfId="3" applyBorder="1" applyAlignment="1" applyProtection="1">
      <alignment textRotation="90"/>
    </xf>
    <xf numFmtId="0" fontId="1" fillId="2" borderId="1" xfId="1" applyBorder="1" applyAlignment="1" applyProtection="1">
      <alignment horizontal="center" textRotation="90"/>
    </xf>
    <xf numFmtId="0" fontId="1" fillId="4" borderId="1" xfId="2" applyBorder="1" applyAlignment="1" applyProtection="1">
      <alignment horizontal="center" textRotation="9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11" borderId="1" xfId="6" applyBorder="1" applyAlignment="1" applyProtection="1">
      <alignment horizontal="left" vertical="center"/>
    </xf>
    <xf numFmtId="0" fontId="1" fillId="14" borderId="1" xfId="3" applyFill="1" applyBorder="1" applyAlignment="1" applyProtection="1">
      <alignment horizontal="left" vertical="center"/>
    </xf>
    <xf numFmtId="0" fontId="1" fillId="9" borderId="1" xfId="3" applyFill="1" applyBorder="1" applyAlignment="1" applyProtection="1">
      <alignment horizontal="center" vertical="center"/>
    </xf>
    <xf numFmtId="0" fontId="1" fillId="15" borderId="4" xfId="3" applyFill="1" applyBorder="1" applyAlignment="1" applyProtection="1">
      <alignment horizontal="center" vertical="center"/>
    </xf>
    <xf numFmtId="0" fontId="9" fillId="2" borderId="1" xfId="1" applyFont="1" applyBorder="1" applyAlignment="1" applyProtection="1">
      <alignment horizontal="center" vertical="center"/>
    </xf>
    <xf numFmtId="0" fontId="9" fillId="4" borderId="1" xfId="2" applyFont="1" applyBorder="1" applyAlignment="1" applyProtection="1">
      <alignment horizontal="center" vertical="center"/>
    </xf>
    <xf numFmtId="0" fontId="0" fillId="0" borderId="1" xfId="0" applyBorder="1" applyAlignment="1">
      <alignment vertical="center"/>
    </xf>
    <xf numFmtId="0" fontId="4" fillId="6" borderId="1" xfId="4" applyBorder="1" applyAlignment="1" applyProtection="1">
      <alignment horizontal="left" vertical="center"/>
    </xf>
    <xf numFmtId="0" fontId="6" fillId="12" borderId="12" xfId="7" applyFont="1" applyAlignment="1" applyProtection="1">
      <alignment horizontal="left" vertical="center"/>
    </xf>
    <xf numFmtId="0" fontId="0" fillId="0" borderId="4" xfId="0" applyBorder="1" applyAlignment="1">
      <alignment horizontal="center" vertical="center"/>
    </xf>
    <xf numFmtId="0" fontId="9" fillId="2" borderId="4" xfId="1" applyFont="1" applyBorder="1" applyAlignment="1" applyProtection="1">
      <alignment horizontal="center" vertical="center"/>
    </xf>
    <xf numFmtId="0" fontId="9" fillId="4" borderId="4" xfId="2" applyFont="1" applyBorder="1" applyAlignment="1" applyProtection="1">
      <alignment horizontal="center" vertical="center"/>
    </xf>
    <xf numFmtId="0" fontId="6" fillId="10" borderId="1" xfId="5" applyBorder="1" applyAlignment="1" applyProtection="1">
      <alignment horizontal="left" vertical="center"/>
    </xf>
    <xf numFmtId="0" fontId="0" fillId="0" borderId="1" xfId="0" applyBorder="1" applyAlignment="1">
      <alignment horizontal="left" vertical="center"/>
    </xf>
    <xf numFmtId="0" fontId="1" fillId="5" borderId="11" xfId="3" applyBorder="1" applyAlignment="1" applyProtection="1">
      <alignment textRotation="90"/>
    </xf>
    <xf numFmtId="0" fontId="5" fillId="5" borderId="1" xfId="3" applyFont="1" applyBorder="1" applyAlignment="1" applyProtection="1">
      <alignment horizontal="left" vertical="center"/>
    </xf>
    <xf numFmtId="0" fontId="5" fillId="5" borderId="1" xfId="3" applyFont="1" applyBorder="1" applyAlignment="1" applyProtection="1">
      <alignment horizontal="center"/>
    </xf>
    <xf numFmtId="0" fontId="5" fillId="2" borderId="1" xfId="1" applyFont="1" applyBorder="1" applyAlignment="1" applyProtection="1">
      <alignment horizontal="center"/>
    </xf>
    <xf numFmtId="0" fontId="5" fillId="4" borderId="1" xfId="2" applyFont="1" applyBorder="1" applyAlignment="1" applyProtection="1">
      <alignment horizontal="center"/>
    </xf>
    <xf numFmtId="9" fontId="5" fillId="14" borderId="1" xfId="3" applyNumberFormat="1" applyFont="1" applyFill="1" applyBorder="1" applyAlignment="1" applyProtection="1">
      <alignment horizontal="left" vertical="center"/>
    </xf>
    <xf numFmtId="9" fontId="5" fillId="9" borderId="1" xfId="3" applyNumberFormat="1" applyFont="1" applyFill="1" applyBorder="1" applyAlignment="1" applyProtection="1"/>
    <xf numFmtId="9" fontId="5" fillId="15" borderId="1" xfId="3" applyNumberFormat="1" applyFont="1" applyFill="1" applyBorder="1" applyAlignment="1" applyProtection="1"/>
    <xf numFmtId="0" fontId="5" fillId="2" borderId="1" xfId="1" applyFont="1" applyBorder="1" applyAlignment="1" applyProtection="1"/>
    <xf numFmtId="0" fontId="5" fillId="4" borderId="1" xfId="2" applyFont="1" applyBorder="1" applyAlignment="1" applyProtection="1"/>
    <xf numFmtId="0" fontId="1" fillId="16" borderId="3" xfId="3" applyFill="1" applyBorder="1" applyAlignment="1" applyProtection="1">
      <alignment horizontal="center" vertical="center"/>
    </xf>
    <xf numFmtId="0" fontId="1" fillId="16" borderId="3" xfId="3" applyFill="1" applyBorder="1" applyAlignment="1" applyProtection="1">
      <alignment horizontal="center" vertical="top" wrapText="1"/>
    </xf>
    <xf numFmtId="0" fontId="1" fillId="16" borderId="5" xfId="3" applyFill="1" applyBorder="1" applyAlignment="1" applyProtection="1">
      <alignment textRotation="90"/>
    </xf>
    <xf numFmtId="9" fontId="1" fillId="16" borderId="1" xfId="3" applyNumberFormat="1" applyFill="1" applyBorder="1" applyAlignment="1" applyProtection="1"/>
    <xf numFmtId="0" fontId="1" fillId="16" borderId="11" xfId="3" applyFill="1" applyBorder="1" applyAlignment="1" applyProtection="1">
      <alignment textRotation="90"/>
    </xf>
    <xf numFmtId="0" fontId="1" fillId="16" borderId="4" xfId="3" applyFill="1" applyBorder="1" applyAlignment="1" applyProtection="1">
      <alignment horizontal="center" vertical="center"/>
    </xf>
    <xf numFmtId="0" fontId="0" fillId="16" borderId="0" xfId="0" applyFill="1"/>
    <xf numFmtId="0" fontId="1" fillId="16" borderId="0" xfId="3" applyFill="1" applyAlignment="1"/>
    <xf numFmtId="0" fontId="1" fillId="2" borderId="1" xfId="1" applyBorder="1" applyAlignment="1" applyProtection="1">
      <alignment horizontal="center" vertical="center"/>
    </xf>
    <xf numFmtId="0" fontId="8" fillId="13" borderId="1" xfId="8" applyBorder="1" applyAlignment="1" applyProtection="1">
      <alignment horizontal="center" textRotation="90"/>
    </xf>
    <xf numFmtId="0" fontId="0" fillId="0" borderId="0" xfId="0" applyAlignment="1">
      <alignment horizontal="right"/>
    </xf>
    <xf numFmtId="0" fontId="1" fillId="18" borderId="1" xfId="9" applyFill="1" applyBorder="1" applyAlignment="1">
      <alignment horizontal="left"/>
    </xf>
    <xf numFmtId="0" fontId="1" fillId="18" borderId="1" xfId="9" applyFill="1" applyBorder="1" applyAlignment="1">
      <alignment horizontal="center"/>
    </xf>
    <xf numFmtId="0" fontId="1" fillId="18" borderId="1" xfId="1" applyFill="1" applyBorder="1" applyAlignment="1">
      <alignment horizontal="center"/>
    </xf>
    <xf numFmtId="0" fontId="1" fillId="18" borderId="1" xfId="1" applyFill="1" applyBorder="1"/>
    <xf numFmtId="0" fontId="1" fillId="18" borderId="1" xfId="1" applyFill="1" applyBorder="1" applyAlignment="1">
      <alignment horizontal="left"/>
    </xf>
    <xf numFmtId="0" fontId="0" fillId="18" borderId="0" xfId="0" applyFill="1"/>
    <xf numFmtId="0" fontId="1" fillId="2" borderId="1" xfId="1" applyBorder="1" applyAlignment="1">
      <alignment horizontal="center" vertical="center" textRotation="90"/>
    </xf>
    <xf numFmtId="0" fontId="1" fillId="4" borderId="1" xfId="2" applyBorder="1" applyAlignment="1">
      <alignment horizontal="center" vertical="center" textRotation="90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5" borderId="3" xfId="3" applyBorder="1" applyAlignment="1">
      <alignment horizontal="center" vertical="top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5" borderId="5" xfId="3" applyBorder="1" applyAlignment="1">
      <alignment horizontal="left"/>
    </xf>
    <xf numFmtId="0" fontId="1" fillId="5" borderId="6" xfId="3" applyBorder="1" applyAlignment="1">
      <alignment horizontal="left"/>
    </xf>
    <xf numFmtId="0" fontId="1" fillId="9" borderId="5" xfId="3" applyFill="1" applyBorder="1" applyAlignment="1" applyProtection="1">
      <alignment horizontal="center" vertical="center"/>
    </xf>
    <xf numFmtId="0" fontId="1" fillId="9" borderId="6" xfId="3" applyFill="1" applyBorder="1" applyAlignment="1" applyProtection="1">
      <alignment horizontal="center" vertical="center"/>
    </xf>
    <xf numFmtId="0" fontId="1" fillId="5" borderId="3" xfId="3" applyBorder="1" applyAlignment="1" applyProtection="1">
      <alignment horizontal="center" vertical="top" wrapText="1"/>
    </xf>
    <xf numFmtId="0" fontId="1" fillId="2" borderId="1" xfId="1" applyBorder="1" applyAlignment="1" applyProtection="1">
      <alignment horizontal="center" vertical="center"/>
    </xf>
    <xf numFmtId="0" fontId="1" fillId="4" borderId="1" xfId="2" applyBorder="1" applyAlignment="1" applyProtection="1">
      <alignment horizontal="center"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/>
    </xf>
  </cellXfs>
  <cellStyles count="10">
    <cellStyle name="20% - Accent5" xfId="3" builtinId="46"/>
    <cellStyle name="40% - Accent1" xfId="2" builtinId="31"/>
    <cellStyle name="40% - Accent3" xfId="1" builtinId="39"/>
    <cellStyle name="60% - Accent3" xfId="9" builtinId="40"/>
    <cellStyle name="Accent4" xfId="8" builtinId="41"/>
    <cellStyle name="Bad" xfId="6" builtinId="27"/>
    <cellStyle name="Good" xfId="5" builtinId="26"/>
    <cellStyle name="Neutral" xfId="4" builtinId="28"/>
    <cellStyle name="Normal" xfId="0" builtinId="0"/>
    <cellStyle name="Note" xfId="7" builtinId="10"/>
  </cellStyles>
  <dxfs count="6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numFmt numFmtId="164" formatCode="h:mm;@"/>
      <alignment horizontal="left" vertical="top" textRotation="0" wrapText="0" indent="0" justifyLastLine="0" shrinkToFit="0" readingOrder="0"/>
    </dxf>
    <dxf>
      <numFmt numFmtId="164" formatCode="h:mm;@"/>
      <alignment horizontal="left" vertical="top" textRotation="0" indent="0" justifyLastLine="0" shrinkToFit="0" readingOrder="0"/>
    </dxf>
    <dxf>
      <numFmt numFmtId="164" formatCode="h:mm;@"/>
      <alignment horizontal="left" vertical="top" textRotation="0" wrapText="0" indent="0" justifyLastLine="0" shrinkToFit="0" readingOrder="0"/>
    </dxf>
    <dxf>
      <numFmt numFmtId="164" formatCode="h:mm;@"/>
      <alignment horizontal="left" vertical="top" textRotation="0" indent="0" justifyLastLine="0" shrinkToFit="0" readingOrder="0"/>
    </dxf>
    <dxf>
      <numFmt numFmtId="164" formatCode="h:mm;@"/>
      <alignment horizontal="left" vertical="top" textRotation="0" wrapText="0" indent="0" justifyLastLine="0" shrinkToFit="0" readingOrder="0"/>
    </dxf>
    <dxf>
      <numFmt numFmtId="164" formatCode="h:mm;@"/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numFmt numFmtId="164" formatCode="h:mm;@"/>
      <alignment horizontal="left" vertical="top" textRotation="0" wrapText="0" indent="0" justifyLastLine="0" shrinkToFit="0" readingOrder="0"/>
    </dxf>
    <dxf>
      <numFmt numFmtId="164" formatCode="h:mm;@"/>
      <alignment horizontal="left" vertical="top" textRotation="0" wrapText="0" indent="0" justifyLastLine="0" shrinkToFit="0" readingOrder="0"/>
    </dxf>
    <dxf>
      <numFmt numFmtId="164" formatCode="h:mm;@"/>
      <alignment horizontal="left" vertical="top" textRotation="0" wrapText="0" indent="0" justifyLastLine="0" shrinkToFit="0" readingOrder="0"/>
    </dxf>
    <dxf>
      <numFmt numFmtId="164" formatCode="h:mm;@"/>
      <alignment horizontal="left" vertical="top" textRotation="0" indent="0" justifyLastLine="0" shrinkToFit="0" readingOrder="0"/>
    </dxf>
    <dxf>
      <numFmt numFmtId="164" formatCode="h:mm;@"/>
      <alignment horizontal="left" vertical="top" textRotation="0" wrapText="0" indent="0" justifyLastLine="0" shrinkToFit="0" readingOrder="0"/>
    </dxf>
    <dxf>
      <numFmt numFmtId="164" formatCode="h:mm;@"/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976D78-6CE8-4CC5-ADCF-ABE011F59372}" name="Table4" displayName="Table4" ref="A1:D17" totalsRowShown="0" headerRowDxfId="65" headerRowBorderDxfId="64" tableBorderDxfId="63" totalsRowBorderDxfId="62">
  <autoFilter ref="A1:D17" xr:uid="{35976D78-6CE8-4CC5-ADCF-ABE011F59372}"/>
  <tableColumns count="4">
    <tableColumn id="1" xr3:uid="{4A283B5D-D79E-4F68-917C-FABF39A55417}" name="All audit participants" dataDxfId="61"/>
    <tableColumn id="2" xr3:uid="{FDAE81AD-5E30-4127-AC2F-C488E251EFDC}" name="Responsible" dataDxfId="60"/>
    <tableColumn id="3" xr3:uid="{686096FB-9717-453A-996B-E81AF2FA93D5}" name="Members to interview" dataDxfId="59"/>
    <tableColumn id="4" xr3:uid="{C6DEC12D-28C3-4782-A352-CA8B3A3B8BDB}" name="Controls group" dataDxfId="5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3CACD-7C06-40A2-9CCE-55070E9F48AB}" name="Table1" displayName="Table1" ref="A1:L12" totalsRowCount="1" dataDxfId="57">
  <autoFilter ref="A1:L11" xr:uid="{7333CACD-7C06-40A2-9CCE-55070E9F48AB}"/>
  <tableColumns count="12">
    <tableColumn id="1" xr3:uid="{DFF40F1B-666B-43F0-8AE4-ACA7B980733C}" name="Day" dataDxfId="56" totalsRowDxfId="55"/>
    <tableColumn id="2" xr3:uid="{2955FC08-4560-425F-8090-D9549A0D5145}" name="From" dataDxfId="54" totalsRowDxfId="53"/>
    <tableColumn id="3" xr3:uid="{18432DD2-9D6D-48F5-8C5A-E8490C310F40}" name="Until" dataDxfId="52" totalsRowDxfId="51"/>
    <tableColumn id="4" xr3:uid="{C490A95D-C25E-443C-B27E-24BC750BEFE0}" name="Duration" totalsRowFunction="custom" dataDxfId="50" totalsRowDxfId="49">
      <calculatedColumnFormula>C2-B2</calculatedColumnFormula>
      <totalsRowFormula>SUM(Table1[Duration])</totalsRowFormula>
    </tableColumn>
    <tableColumn id="5" xr3:uid="{FF9A34D0-0FCE-49D1-B8CC-08AD3B0ABC4C}" name="Location" dataDxfId="48" totalsRowDxfId="47"/>
    <tableColumn id="6" xr3:uid="{72E2A75E-EADF-47A8-892C-FD75D4B8D07A}" name="Subject/Process" dataDxfId="46" totalsRowDxfId="45"/>
    <tableColumn id="7" xr3:uid="{CAAFA814-4BE2-4562-AEEB-6E720DA333A2}" name="ISO27001 Reference" dataDxfId="44" totalsRowDxfId="43"/>
    <tableColumn id="8" xr3:uid="{77808989-FFE4-4C53-84C0-D9BE5B84C216}" name="Standard" dataDxfId="42" totalsRowDxfId="41"/>
    <tableColumn id="9" xr3:uid="{72BB2800-D651-4217-B2B5-5B14A25152A4}" name="Unit/Department" dataDxfId="40" totalsRowDxfId="39"/>
    <tableColumn id="10" xr3:uid="{EBA68958-7D64-4B89-8D6D-044C63F677D3}" name="Participants (Add person names)" dataDxfId="38" totalsRowDxfId="37"/>
    <tableColumn id="11" xr3:uid="{44AA3679-F67D-43B7-A5D5-E303F54023A9}" name="Auditors" dataDxfId="36" totalsRowDxfId="35"/>
    <tableColumn id="12" xr3:uid="{710719DF-BFD8-4549-99A5-A189157AA972}" name="Remote (Yes/No)" dataDxfId="34" totalsRowDxfId="33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B378A9-C748-4AEC-BDC6-FA533067E6B6}" name="Table14" displayName="Table14" ref="A1:L13" totalsRowCount="1" dataDxfId="32">
  <autoFilter ref="A1:L12" xr:uid="{7333CACD-7C06-40A2-9CCE-55070E9F48AB}"/>
  <tableColumns count="12">
    <tableColumn id="1" xr3:uid="{F08669C5-A7C6-4301-89E3-F18336E779E1}" name="Day" dataDxfId="31" totalsRowDxfId="30"/>
    <tableColumn id="2" xr3:uid="{D82B7E79-5ED3-4335-ADDD-D2A80EACD03C}" name="From" dataDxfId="29" totalsRowDxfId="28"/>
    <tableColumn id="3" xr3:uid="{ED087BC3-2F83-468B-BEC4-4B6E1E87512B}" name="Until" dataDxfId="27" totalsRowDxfId="26"/>
    <tableColumn id="4" xr3:uid="{9CC9E4F7-C71D-42CB-8E1B-6A7200671251}" name="Duration" totalsRowFunction="custom" dataDxfId="25" totalsRowDxfId="24">
      <calculatedColumnFormula>C2-B2</calculatedColumnFormula>
      <totalsRowFormula>SUM(Table14[Duration])</totalsRowFormula>
    </tableColumn>
    <tableColumn id="5" xr3:uid="{CAB0F35F-CAA1-4B13-B58B-853E5A4A31EB}" name="Location" dataDxfId="23" totalsRowDxfId="22"/>
    <tableColumn id="6" xr3:uid="{CA864A42-7EF9-4175-A1A2-8434DA2B076F}" name="Subject/Process" dataDxfId="21" totalsRowDxfId="20"/>
    <tableColumn id="7" xr3:uid="{A3395CF3-2DAD-4BC4-86B7-9558C4CF316B}" name="ISO27001 Reference" dataDxfId="19" totalsRowDxfId="18"/>
    <tableColumn id="8" xr3:uid="{DFCF6B88-95EE-4472-92DA-039189556774}" name="Standard" dataDxfId="17" totalsRowDxfId="16"/>
    <tableColumn id="9" xr3:uid="{BB32C66A-408D-47F9-BA38-1027287A86DB}" name="Unit/Department" dataDxfId="15" totalsRowDxfId="14"/>
    <tableColumn id="10" xr3:uid="{24E01E04-E871-4503-A313-1B314D943EAD}" name="Participants" dataDxfId="13" totalsRowDxfId="12"/>
    <tableColumn id="11" xr3:uid="{E53D7763-DB33-4320-88A8-3E63AD963E43}" name="Auditors" dataDxfId="11" totalsRowDxfId="10"/>
    <tableColumn id="12" xr3:uid="{A401550D-8E4D-4BF1-A21F-854EED3FEEC3}" name="Remote (Y/N)" dataDxfId="9" totalsRowDxfId="8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86B5-3477-49BF-87C6-2539D4207066}">
  <dimension ref="A1:XFC17"/>
  <sheetViews>
    <sheetView workbookViewId="0">
      <selection activeCell="D3" sqref="D3:D17"/>
    </sheetView>
  </sheetViews>
  <sheetFormatPr defaultColWidth="0" defaultRowHeight="14.4" zeroHeight="1" x14ac:dyDescent="0.3"/>
  <cols>
    <col min="1" max="1" width="25.6640625" style="29" bestFit="1" customWidth="1"/>
    <col min="2" max="2" width="14" style="29" bestFit="1" customWidth="1"/>
    <col min="3" max="3" width="21.88671875" style="29" bestFit="1" customWidth="1"/>
    <col min="4" max="4" width="62.6640625" style="30" customWidth="1"/>
    <col min="5" max="16383" width="8.88671875" style="29" hidden="1"/>
    <col min="16384" max="16384" width="8.21875" style="29" hidden="1" customWidth="1"/>
  </cols>
  <sheetData>
    <row r="1" spans="1:4" ht="27.6" customHeight="1" x14ac:dyDescent="0.3">
      <c r="A1" s="39" t="s">
        <v>35</v>
      </c>
      <c r="B1" s="40" t="s">
        <v>46</v>
      </c>
      <c r="C1" s="40" t="s">
        <v>45</v>
      </c>
      <c r="D1" s="36" t="s">
        <v>303</v>
      </c>
    </row>
    <row r="2" spans="1:4" x14ac:dyDescent="0.3">
      <c r="A2" s="42" t="s">
        <v>49</v>
      </c>
      <c r="B2" s="28"/>
      <c r="C2" s="28"/>
      <c r="D2" s="31" t="s">
        <v>176</v>
      </c>
    </row>
    <row r="3" spans="1:4" ht="28.8" x14ac:dyDescent="0.3">
      <c r="A3" s="42" t="str">
        <f>'Control to team mapping'!D2</f>
        <v>Management Team</v>
      </c>
      <c r="B3" s="28"/>
      <c r="C3" s="28"/>
      <c r="D3" s="32" t="s">
        <v>55</v>
      </c>
    </row>
    <row r="4" spans="1:4" x14ac:dyDescent="0.3">
      <c r="A4" s="42" t="str">
        <f>'Control to team mapping'!E2</f>
        <v>Security officer / ISMS Project</v>
      </c>
      <c r="B4" s="28"/>
      <c r="C4" s="28"/>
      <c r="D4" s="32"/>
    </row>
    <row r="5" spans="1:4" x14ac:dyDescent="0.3">
      <c r="A5" s="42" t="str">
        <f>'Control to team mapping'!F2</f>
        <v>Physical Security</v>
      </c>
      <c r="B5" s="28"/>
      <c r="C5" s="28"/>
      <c r="D5" s="32" t="s">
        <v>177</v>
      </c>
    </row>
    <row r="6" spans="1:4" x14ac:dyDescent="0.3">
      <c r="A6" s="42" t="str">
        <f>'Control to team mapping'!G2</f>
        <v>IT Operations &amp; Support</v>
      </c>
      <c r="B6" s="28"/>
      <c r="C6" s="28"/>
      <c r="D6" s="33" t="s">
        <v>178</v>
      </c>
    </row>
    <row r="7" spans="1:4" ht="57.6" x14ac:dyDescent="0.3">
      <c r="A7" s="42" t="str">
        <f>'Control to team mapping'!H2</f>
        <v>Legal &amp; Regulatory</v>
      </c>
      <c r="B7" s="28"/>
      <c r="C7" s="28"/>
      <c r="D7" s="33" t="s">
        <v>179</v>
      </c>
    </row>
    <row r="8" spans="1:4" x14ac:dyDescent="0.3">
      <c r="A8" s="42" t="str">
        <f>'Control to team mapping'!K2</f>
        <v>HR &amp; Office management</v>
      </c>
      <c r="B8" s="28"/>
      <c r="C8" s="28"/>
      <c r="D8" s="34" t="s">
        <v>180</v>
      </c>
    </row>
    <row r="9" spans="1:4" x14ac:dyDescent="0.3">
      <c r="A9" s="42" t="str">
        <f>'Control to team mapping'!L2</f>
        <v>Supplier Management</v>
      </c>
      <c r="B9" s="28"/>
      <c r="C9" s="28"/>
      <c r="D9" s="34" t="s">
        <v>181</v>
      </c>
    </row>
    <row r="10" spans="1:4" x14ac:dyDescent="0.3">
      <c r="A10" s="42" t="str">
        <f>'Control to team mapping'!M2</f>
        <v>Communication &amp; Marketing</v>
      </c>
      <c r="B10" s="28"/>
      <c r="C10" s="28"/>
      <c r="D10" s="35" t="s">
        <v>182</v>
      </c>
    </row>
    <row r="11" spans="1:4" x14ac:dyDescent="0.3">
      <c r="A11" s="42" t="str">
        <f>'Control to team mapping'!N2</f>
        <v xml:space="preserve">Commercial &amp; Sales </v>
      </c>
      <c r="B11" s="28"/>
      <c r="C11" s="28"/>
      <c r="D11" s="32" t="s">
        <v>183</v>
      </c>
    </row>
    <row r="12" spans="1:4" x14ac:dyDescent="0.3">
      <c r="A12" s="42" t="str">
        <f>'Control to team mapping'!O2</f>
        <v>Customer Support (Incident/Ticketing)</v>
      </c>
      <c r="B12" s="28"/>
      <c r="C12" s="28"/>
      <c r="D12" s="34" t="s">
        <v>186</v>
      </c>
    </row>
    <row r="13" spans="1:4" x14ac:dyDescent="0.3">
      <c r="A13" s="42" t="str">
        <f>'Control to team mapping'!P2</f>
        <v>Product Management &amp; Service Offering</v>
      </c>
      <c r="B13" s="28"/>
      <c r="C13" s="28"/>
      <c r="D13" s="34" t="s">
        <v>199</v>
      </c>
    </row>
    <row r="14" spans="1:4" x14ac:dyDescent="0.3">
      <c r="A14" s="42" t="str">
        <f>'Control to team mapping'!Q2</f>
        <v>Quality Management</v>
      </c>
      <c r="B14" s="28"/>
      <c r="C14" s="28"/>
      <c r="D14" s="34" t="s">
        <v>200</v>
      </c>
    </row>
    <row r="15" spans="1:4" x14ac:dyDescent="0.3">
      <c r="A15" s="42" t="str">
        <f>'Control to team mapping'!D17</f>
        <v>X</v>
      </c>
      <c r="B15" s="28"/>
      <c r="C15" s="28"/>
      <c r="D15" s="32" t="s">
        <v>185</v>
      </c>
    </row>
    <row r="16" spans="1:4" x14ac:dyDescent="0.3">
      <c r="A16" s="42" t="str">
        <f>'Control to team mapping'!E17</f>
        <v>X</v>
      </c>
      <c r="B16" s="28"/>
      <c r="C16" s="28"/>
      <c r="D16" s="34" t="s">
        <v>184</v>
      </c>
    </row>
    <row r="17" spans="1:4" x14ac:dyDescent="0.3">
      <c r="A17" s="42">
        <f>'Control to team mapping'!D19</f>
        <v>0</v>
      </c>
      <c r="B17" s="37"/>
      <c r="C17" s="37"/>
      <c r="D17" s="38" t="s">
        <v>184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F136-B30C-403D-8B56-A3A3DEAA2FC8}">
  <dimension ref="A1:AH79"/>
  <sheetViews>
    <sheetView tabSelected="1" zoomScale="85" zoomScaleNormal="85" workbookViewId="0">
      <pane xSplit="1" ySplit="6" topLeftCell="B17" activePane="bottomRight" state="frozen"/>
      <selection pane="topRight" activeCell="B1" sqref="B1"/>
      <selection pane="bottomLeft" activeCell="A6" sqref="A6"/>
      <selection pane="bottomRight" activeCell="U1" sqref="U1:U1048576"/>
    </sheetView>
  </sheetViews>
  <sheetFormatPr defaultColWidth="0" defaultRowHeight="14.4" zeroHeight="1" x14ac:dyDescent="0.3"/>
  <cols>
    <col min="1" max="1" width="26.88671875" bestFit="1" customWidth="1"/>
    <col min="2" max="2" width="6.77734375" bestFit="1" customWidth="1"/>
    <col min="3" max="3" width="36.109375" bestFit="1" customWidth="1"/>
    <col min="4" max="8" width="3.88671875" bestFit="1" customWidth="1"/>
    <col min="9" max="10" width="3.88671875" customWidth="1"/>
    <col min="11" max="11" width="3.88671875" bestFit="1" customWidth="1"/>
    <col min="12" max="12" width="3.88671875" customWidth="1"/>
    <col min="13" max="18" width="3.88671875" bestFit="1" customWidth="1"/>
    <col min="19" max="20" width="3.88671875" customWidth="1"/>
    <col min="21" max="21" width="14.77734375" customWidth="1"/>
    <col min="22" max="22" width="14.88671875" bestFit="1" customWidth="1"/>
    <col min="23" max="34" width="0" hidden="1" customWidth="1"/>
    <col min="35" max="16384" width="8.88671875" hidden="1"/>
  </cols>
  <sheetData>
    <row r="1" spans="1:22" x14ac:dyDescent="0.3">
      <c r="C1" s="95" t="s">
        <v>301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3</v>
      </c>
      <c r="O1">
        <v>2</v>
      </c>
      <c r="P1">
        <v>3</v>
      </c>
      <c r="Q1">
        <v>3</v>
      </c>
      <c r="R1">
        <v>3</v>
      </c>
    </row>
    <row r="2" spans="1:22" ht="180" customHeight="1" x14ac:dyDescent="0.3">
      <c r="A2" t="s">
        <v>22</v>
      </c>
      <c r="B2" s="107" t="s">
        <v>4</v>
      </c>
      <c r="C2" s="108"/>
      <c r="D2" s="19" t="s">
        <v>300</v>
      </c>
      <c r="E2" s="19" t="s">
        <v>19</v>
      </c>
      <c r="F2" s="19" t="s">
        <v>20</v>
      </c>
      <c r="G2" s="19" t="s">
        <v>44</v>
      </c>
      <c r="H2" s="19" t="s">
        <v>211</v>
      </c>
      <c r="I2" s="19" t="s">
        <v>307</v>
      </c>
      <c r="J2" s="19" t="s">
        <v>308</v>
      </c>
      <c r="K2" s="19" t="s">
        <v>8</v>
      </c>
      <c r="L2" s="19" t="s">
        <v>223</v>
      </c>
      <c r="M2" s="19" t="s">
        <v>306</v>
      </c>
      <c r="N2" s="19" t="s">
        <v>305</v>
      </c>
      <c r="O2" s="19" t="s">
        <v>304</v>
      </c>
      <c r="P2" s="19" t="s">
        <v>302</v>
      </c>
      <c r="Q2" s="19" t="s">
        <v>210</v>
      </c>
      <c r="R2" s="19" t="s">
        <v>12</v>
      </c>
      <c r="S2" s="19" t="s">
        <v>197</v>
      </c>
      <c r="T2" s="19" t="s">
        <v>197</v>
      </c>
      <c r="U2" s="104" t="s">
        <v>21</v>
      </c>
      <c r="V2" s="105"/>
    </row>
    <row r="3" spans="1:22" x14ac:dyDescent="0.3">
      <c r="A3" s="106" t="s">
        <v>21</v>
      </c>
      <c r="B3" s="109" t="s">
        <v>0</v>
      </c>
      <c r="C3" s="110"/>
      <c r="D3" s="43" t="s">
        <v>16</v>
      </c>
      <c r="E3" s="43" t="s">
        <v>16</v>
      </c>
      <c r="F3" s="43" t="s">
        <v>16</v>
      </c>
      <c r="G3" s="43" t="s">
        <v>16</v>
      </c>
      <c r="H3" s="43" t="s">
        <v>16</v>
      </c>
      <c r="I3" s="43" t="s">
        <v>16</v>
      </c>
      <c r="J3" s="43" t="s">
        <v>16</v>
      </c>
      <c r="K3" s="43" t="s">
        <v>16</v>
      </c>
      <c r="L3" s="43" t="s">
        <v>16</v>
      </c>
      <c r="M3" s="43" t="s">
        <v>16</v>
      </c>
      <c r="N3" s="43" t="s">
        <v>16</v>
      </c>
      <c r="O3" s="43" t="s">
        <v>16</v>
      </c>
      <c r="P3" s="43" t="s">
        <v>16</v>
      </c>
      <c r="Q3" s="43" t="s">
        <v>16</v>
      </c>
      <c r="R3" s="43" t="s">
        <v>16</v>
      </c>
      <c r="S3" s="43" t="s">
        <v>16</v>
      </c>
      <c r="T3" s="43" t="s">
        <v>282</v>
      </c>
      <c r="U3" s="8">
        <f>COUNTA(D3:T3)</f>
        <v>17</v>
      </c>
      <c r="V3" s="9">
        <v>1</v>
      </c>
    </row>
    <row r="4" spans="1:22" x14ac:dyDescent="0.3">
      <c r="A4" s="106"/>
      <c r="B4" s="109" t="s">
        <v>1</v>
      </c>
      <c r="C4" s="110"/>
      <c r="D4" s="7" t="s">
        <v>16</v>
      </c>
      <c r="E4" s="7" t="s">
        <v>16</v>
      </c>
      <c r="F4" s="7" t="s">
        <v>16</v>
      </c>
      <c r="G4" s="45" t="s">
        <v>16</v>
      </c>
      <c r="H4" s="45"/>
      <c r="I4" s="45"/>
      <c r="J4" s="45"/>
      <c r="K4" s="45"/>
      <c r="L4" s="45"/>
      <c r="M4" s="45"/>
      <c r="N4" s="45" t="s">
        <v>16</v>
      </c>
      <c r="O4" s="45"/>
      <c r="P4" s="45" t="s">
        <v>16</v>
      </c>
      <c r="Q4" s="45" t="s">
        <v>16</v>
      </c>
      <c r="R4" s="45"/>
      <c r="S4" s="45"/>
      <c r="T4" s="7"/>
      <c r="U4" s="8">
        <f>COUNTA(E4:T4)</f>
        <v>6</v>
      </c>
      <c r="V4" s="9">
        <v>0.33</v>
      </c>
    </row>
    <row r="5" spans="1:22" x14ac:dyDescent="0.3">
      <c r="A5" s="106"/>
      <c r="B5" s="109" t="s">
        <v>2</v>
      </c>
      <c r="C5" s="110"/>
      <c r="D5" s="7" t="s">
        <v>16</v>
      </c>
      <c r="E5" s="7" t="s">
        <v>16</v>
      </c>
      <c r="F5" s="7" t="s">
        <v>16</v>
      </c>
      <c r="G5" s="45"/>
      <c r="H5" s="45" t="s">
        <v>16</v>
      </c>
      <c r="I5" s="45"/>
      <c r="J5" s="45"/>
      <c r="K5" s="45" t="s">
        <v>16</v>
      </c>
      <c r="L5" s="45"/>
      <c r="M5" s="45" t="s">
        <v>16</v>
      </c>
      <c r="N5" s="45"/>
      <c r="O5" s="45" t="s">
        <v>16</v>
      </c>
      <c r="P5" s="45"/>
      <c r="Q5" s="45"/>
      <c r="R5" s="45" t="s">
        <v>16</v>
      </c>
      <c r="S5" s="45"/>
      <c r="T5" s="7"/>
      <c r="U5" s="8">
        <f>COUNTA(E5:T5)</f>
        <v>7</v>
      </c>
      <c r="V5" s="9">
        <v>0.33</v>
      </c>
    </row>
    <row r="6" spans="1:22" x14ac:dyDescent="0.3">
      <c r="A6" s="106"/>
      <c r="B6" s="109" t="s">
        <v>3</v>
      </c>
      <c r="C6" s="110"/>
      <c r="D6" s="44" t="s">
        <v>16</v>
      </c>
      <c r="E6" s="44" t="s">
        <v>16</v>
      </c>
      <c r="F6" s="44" t="s">
        <v>16</v>
      </c>
      <c r="G6" s="44" t="s">
        <v>16</v>
      </c>
      <c r="H6" s="44" t="s">
        <v>16</v>
      </c>
      <c r="I6" s="44" t="s">
        <v>16</v>
      </c>
      <c r="J6" s="44" t="s">
        <v>16</v>
      </c>
      <c r="K6" s="44" t="s">
        <v>16</v>
      </c>
      <c r="L6" s="44" t="s">
        <v>16</v>
      </c>
      <c r="M6" s="44" t="s">
        <v>16</v>
      </c>
      <c r="N6" s="44" t="s">
        <v>16</v>
      </c>
      <c r="O6" s="44" t="s">
        <v>16</v>
      </c>
      <c r="P6" s="44" t="s">
        <v>16</v>
      </c>
      <c r="Q6" s="44" t="s">
        <v>16</v>
      </c>
      <c r="R6" s="44" t="s">
        <v>16</v>
      </c>
      <c r="S6" s="44" t="s">
        <v>16</v>
      </c>
      <c r="T6" s="44" t="s">
        <v>16</v>
      </c>
      <c r="U6" s="8">
        <f>COUNTA(D6:T6)</f>
        <v>17</v>
      </c>
      <c r="V6" s="9">
        <v>0.66</v>
      </c>
    </row>
    <row r="7" spans="1:22" x14ac:dyDescent="0.3">
      <c r="A7" s="102" t="s">
        <v>14</v>
      </c>
      <c r="B7" s="96">
        <v>4</v>
      </c>
      <c r="C7" s="96" t="s">
        <v>63</v>
      </c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8"/>
      <c r="T7" s="98"/>
      <c r="U7" s="98"/>
      <c r="V7" s="11" t="b">
        <f>COUNTIF(U8:U11,"FALSE")=0</f>
        <v>1</v>
      </c>
    </row>
    <row r="8" spans="1:22" x14ac:dyDescent="0.3">
      <c r="A8" s="102"/>
      <c r="B8" s="10" t="s">
        <v>62</v>
      </c>
      <c r="C8" s="10" t="s">
        <v>312</v>
      </c>
      <c r="D8" s="11" t="s">
        <v>16</v>
      </c>
      <c r="E8" s="11" t="s">
        <v>16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46"/>
      <c r="T8" s="46"/>
      <c r="U8" s="11" t="b">
        <f t="shared" ref="U8:U54" si="0">COUNTA(D8:T8)&gt;0</f>
        <v>1</v>
      </c>
      <c r="V8" s="12"/>
    </row>
    <row r="9" spans="1:22" x14ac:dyDescent="0.3">
      <c r="A9" s="102"/>
      <c r="B9" s="10" t="s">
        <v>64</v>
      </c>
      <c r="C9" s="10" t="s">
        <v>65</v>
      </c>
      <c r="D9" s="11" t="s">
        <v>16</v>
      </c>
      <c r="E9" s="11" t="s">
        <v>16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46"/>
      <c r="T9" s="46"/>
      <c r="U9" s="11" t="b">
        <f t="shared" si="0"/>
        <v>1</v>
      </c>
      <c r="V9" s="12"/>
    </row>
    <row r="10" spans="1:22" x14ac:dyDescent="0.3">
      <c r="A10" s="102"/>
      <c r="B10" s="10" t="s">
        <v>66</v>
      </c>
      <c r="C10" s="10" t="s">
        <v>67</v>
      </c>
      <c r="D10" s="11" t="s">
        <v>16</v>
      </c>
      <c r="E10" s="11" t="s">
        <v>16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46"/>
      <c r="T10" s="46"/>
      <c r="U10" s="11" t="b">
        <f t="shared" si="0"/>
        <v>1</v>
      </c>
      <c r="V10" s="12"/>
    </row>
    <row r="11" spans="1:22" x14ac:dyDescent="0.3">
      <c r="A11" s="102"/>
      <c r="B11" s="10" t="s">
        <v>68</v>
      </c>
      <c r="C11" s="10" t="s">
        <v>69</v>
      </c>
      <c r="D11" s="11" t="s">
        <v>16</v>
      </c>
      <c r="E11" s="11" t="s">
        <v>16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46"/>
      <c r="T11" s="46"/>
      <c r="U11" s="11" t="b">
        <f t="shared" si="0"/>
        <v>1</v>
      </c>
      <c r="V11" s="12"/>
    </row>
    <row r="12" spans="1:22" x14ac:dyDescent="0.3">
      <c r="A12" s="102"/>
      <c r="B12" s="100">
        <v>5</v>
      </c>
      <c r="C12" s="100" t="s">
        <v>313</v>
      </c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9"/>
    </row>
    <row r="13" spans="1:22" x14ac:dyDescent="0.3">
      <c r="A13" s="102"/>
      <c r="B13" s="10" t="s">
        <v>70</v>
      </c>
      <c r="C13" s="10" t="s">
        <v>71</v>
      </c>
      <c r="D13" s="11" t="s">
        <v>16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46"/>
      <c r="T13" s="46"/>
      <c r="U13" s="11" t="b">
        <f t="shared" si="0"/>
        <v>1</v>
      </c>
      <c r="V13" s="12"/>
    </row>
    <row r="14" spans="1:22" x14ac:dyDescent="0.3">
      <c r="A14" s="102"/>
      <c r="B14" s="10" t="s">
        <v>72</v>
      </c>
      <c r="C14" s="10" t="s">
        <v>73</v>
      </c>
      <c r="D14" s="11" t="s">
        <v>16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46"/>
      <c r="T14" s="46"/>
      <c r="U14" s="11" t="b">
        <f t="shared" si="0"/>
        <v>1</v>
      </c>
      <c r="V14" s="12"/>
    </row>
    <row r="15" spans="1:22" x14ac:dyDescent="0.3">
      <c r="A15" s="102"/>
      <c r="B15" s="10" t="s">
        <v>74</v>
      </c>
      <c r="C15" s="10" t="s">
        <v>75</v>
      </c>
      <c r="D15" s="11" t="s">
        <v>16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46"/>
      <c r="T15" s="46"/>
      <c r="U15" s="11" t="b">
        <f t="shared" si="0"/>
        <v>1</v>
      </c>
      <c r="V15" s="12"/>
    </row>
    <row r="16" spans="1:22" x14ac:dyDescent="0.3">
      <c r="A16" s="102"/>
      <c r="B16" s="100">
        <v>6</v>
      </c>
      <c r="C16" s="100" t="s">
        <v>314</v>
      </c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9"/>
    </row>
    <row r="17" spans="1:22" x14ac:dyDescent="0.3">
      <c r="A17" s="102"/>
      <c r="B17" s="10" t="s">
        <v>76</v>
      </c>
      <c r="C17" s="10" t="s">
        <v>309</v>
      </c>
      <c r="D17" s="11" t="s">
        <v>16</v>
      </c>
      <c r="E17" s="11" t="s">
        <v>16</v>
      </c>
      <c r="F17" s="11"/>
      <c r="G17" s="11" t="s">
        <v>16</v>
      </c>
      <c r="H17" s="11" t="s">
        <v>16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46"/>
      <c r="T17" s="46"/>
      <c r="U17" s="11" t="b">
        <f t="shared" si="0"/>
        <v>1</v>
      </c>
      <c r="V17" s="12"/>
    </row>
    <row r="18" spans="1:22" x14ac:dyDescent="0.3">
      <c r="A18" s="102"/>
      <c r="B18" s="10" t="s">
        <v>283</v>
      </c>
      <c r="C18" s="10" t="s">
        <v>284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46"/>
      <c r="T18" s="46"/>
      <c r="U18" s="11"/>
      <c r="V18" s="12"/>
    </row>
    <row r="19" spans="1:22" x14ac:dyDescent="0.3">
      <c r="A19" s="102"/>
      <c r="B19" s="10" t="s">
        <v>285</v>
      </c>
      <c r="C19" s="10" t="s">
        <v>286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46"/>
      <c r="T19" s="46"/>
      <c r="U19" s="11"/>
      <c r="V19" s="12"/>
    </row>
    <row r="20" spans="1:22" x14ac:dyDescent="0.3">
      <c r="A20" s="102"/>
      <c r="B20" s="10" t="s">
        <v>287</v>
      </c>
      <c r="C20" s="10" t="s">
        <v>288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46"/>
      <c r="T20" s="46"/>
      <c r="U20" s="11"/>
      <c r="V20" s="12"/>
    </row>
    <row r="21" spans="1:22" x14ac:dyDescent="0.3">
      <c r="A21" s="102"/>
      <c r="B21" s="10" t="s">
        <v>78</v>
      </c>
      <c r="C21" s="10" t="s">
        <v>79</v>
      </c>
      <c r="D21" s="11" t="s">
        <v>16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46"/>
      <c r="T21" s="46"/>
      <c r="U21" s="11" t="b">
        <f t="shared" si="0"/>
        <v>1</v>
      </c>
      <c r="V21" s="12"/>
    </row>
    <row r="22" spans="1:22" x14ac:dyDescent="0.3">
      <c r="A22" s="102"/>
      <c r="B22" s="100">
        <v>7</v>
      </c>
      <c r="C22" s="100" t="s">
        <v>315</v>
      </c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9"/>
    </row>
    <row r="23" spans="1:22" x14ac:dyDescent="0.3">
      <c r="A23" s="102"/>
      <c r="B23" s="10" t="s">
        <v>80</v>
      </c>
      <c r="C23" s="10" t="s">
        <v>81</v>
      </c>
      <c r="D23" s="11" t="s">
        <v>16</v>
      </c>
      <c r="E23" s="11"/>
      <c r="F23" s="11"/>
      <c r="G23" s="11"/>
      <c r="H23" s="11" t="s">
        <v>16</v>
      </c>
      <c r="I23" s="11"/>
      <c r="J23" s="11"/>
      <c r="K23" s="11" t="s">
        <v>16</v>
      </c>
      <c r="L23" s="11"/>
      <c r="M23" s="11"/>
      <c r="N23" s="11"/>
      <c r="O23" s="11"/>
      <c r="P23" s="11"/>
      <c r="Q23" s="11"/>
      <c r="R23" s="11"/>
      <c r="S23" s="46"/>
      <c r="T23" s="46"/>
      <c r="U23" s="11" t="b">
        <f t="shared" si="0"/>
        <v>1</v>
      </c>
      <c r="V23" s="12"/>
    </row>
    <row r="24" spans="1:22" x14ac:dyDescent="0.3">
      <c r="A24" s="102"/>
      <c r="B24" s="10" t="s">
        <v>82</v>
      </c>
      <c r="C24" s="10" t="s">
        <v>83</v>
      </c>
      <c r="D24" s="11" t="s">
        <v>16</v>
      </c>
      <c r="E24" s="11"/>
      <c r="F24" s="11"/>
      <c r="G24" s="11"/>
      <c r="H24" s="11"/>
      <c r="I24" s="11"/>
      <c r="J24" s="11"/>
      <c r="K24" s="11" t="s">
        <v>16</v>
      </c>
      <c r="L24" s="11"/>
      <c r="M24" s="11"/>
      <c r="N24" s="11"/>
      <c r="O24" s="11"/>
      <c r="P24" s="11"/>
      <c r="Q24" s="11"/>
      <c r="R24" s="11"/>
      <c r="S24" s="46"/>
      <c r="T24" s="46"/>
      <c r="U24" s="11" t="b">
        <f t="shared" si="0"/>
        <v>1</v>
      </c>
      <c r="V24" s="12"/>
    </row>
    <row r="25" spans="1:22" x14ac:dyDescent="0.3">
      <c r="A25" s="102"/>
      <c r="B25" s="10" t="s">
        <v>84</v>
      </c>
      <c r="C25" s="10" t="s">
        <v>85</v>
      </c>
      <c r="D25" s="11" t="s">
        <v>16</v>
      </c>
      <c r="E25" s="11"/>
      <c r="F25" s="11"/>
      <c r="G25" s="11" t="s">
        <v>16</v>
      </c>
      <c r="H25" s="11"/>
      <c r="I25" s="11"/>
      <c r="J25" s="11"/>
      <c r="K25" s="11" t="s">
        <v>16</v>
      </c>
      <c r="L25" s="11"/>
      <c r="M25" s="11"/>
      <c r="N25" s="11"/>
      <c r="O25" s="11"/>
      <c r="P25" s="11"/>
      <c r="Q25" s="11"/>
      <c r="R25" s="11"/>
      <c r="S25" s="46"/>
      <c r="T25" s="46"/>
      <c r="U25" s="11" t="b">
        <f t="shared" si="0"/>
        <v>1</v>
      </c>
      <c r="V25" s="12"/>
    </row>
    <row r="26" spans="1:22" x14ac:dyDescent="0.3">
      <c r="A26" s="102"/>
      <c r="B26" s="10" t="s">
        <v>86</v>
      </c>
      <c r="C26" s="10" t="s">
        <v>87</v>
      </c>
      <c r="D26" s="11" t="s">
        <v>16</v>
      </c>
      <c r="E26" s="11" t="s">
        <v>16</v>
      </c>
      <c r="F26" s="11"/>
      <c r="G26" s="11" t="s">
        <v>16</v>
      </c>
      <c r="H26" s="11"/>
      <c r="I26" s="11"/>
      <c r="J26" s="11"/>
      <c r="K26" s="11"/>
      <c r="L26" s="11"/>
      <c r="M26" s="11" t="s">
        <v>16</v>
      </c>
      <c r="N26" s="11"/>
      <c r="O26" s="11" t="s">
        <v>16</v>
      </c>
      <c r="P26" s="11" t="s">
        <v>16</v>
      </c>
      <c r="Q26" s="11" t="s">
        <v>16</v>
      </c>
      <c r="R26" s="11"/>
      <c r="S26" s="46"/>
      <c r="T26" s="46"/>
      <c r="U26" s="11" t="b">
        <f t="shared" si="0"/>
        <v>1</v>
      </c>
      <c r="V26" s="12"/>
    </row>
    <row r="27" spans="1:22" x14ac:dyDescent="0.3">
      <c r="A27" s="102"/>
      <c r="B27" s="10" t="s">
        <v>88</v>
      </c>
      <c r="C27" s="10" t="s">
        <v>89</v>
      </c>
      <c r="D27" s="11" t="s">
        <v>16</v>
      </c>
      <c r="E27" s="11" t="s">
        <v>16</v>
      </c>
      <c r="F27" s="11" t="s">
        <v>16</v>
      </c>
      <c r="G27" s="11" t="s">
        <v>16</v>
      </c>
      <c r="H27" s="11" t="s">
        <v>16</v>
      </c>
      <c r="I27" s="11"/>
      <c r="J27" s="11"/>
      <c r="K27" s="11" t="s">
        <v>16</v>
      </c>
      <c r="L27" s="11"/>
      <c r="M27" s="11" t="s">
        <v>16</v>
      </c>
      <c r="N27" s="11" t="s">
        <v>16</v>
      </c>
      <c r="O27" s="11" t="s">
        <v>16</v>
      </c>
      <c r="P27" s="11" t="s">
        <v>16</v>
      </c>
      <c r="Q27" s="11" t="s">
        <v>16</v>
      </c>
      <c r="R27" s="11" t="s">
        <v>16</v>
      </c>
      <c r="S27" s="46"/>
      <c r="T27" s="46"/>
      <c r="U27" s="11" t="b">
        <f t="shared" si="0"/>
        <v>1</v>
      </c>
      <c r="V27" s="12"/>
    </row>
    <row r="28" spans="1:22" x14ac:dyDescent="0.3">
      <c r="A28" s="102"/>
      <c r="B28" s="10" t="s">
        <v>289</v>
      </c>
      <c r="C28" s="10" t="s">
        <v>290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 t="s">
        <v>16</v>
      </c>
      <c r="R28" s="11"/>
      <c r="S28" s="46"/>
      <c r="T28" s="46"/>
      <c r="U28" s="11" t="b">
        <f t="shared" si="0"/>
        <v>1</v>
      </c>
      <c r="V28" s="12"/>
    </row>
    <row r="29" spans="1:22" x14ac:dyDescent="0.3">
      <c r="A29" s="102"/>
      <c r="B29" s="10" t="s">
        <v>291</v>
      </c>
      <c r="C29" s="10" t="s">
        <v>292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 t="s">
        <v>16</v>
      </c>
      <c r="S29" s="46"/>
      <c r="T29" s="46"/>
      <c r="U29" s="11" t="b">
        <f t="shared" si="0"/>
        <v>1</v>
      </c>
      <c r="V29" s="12"/>
    </row>
    <row r="30" spans="1:22" x14ac:dyDescent="0.3">
      <c r="A30" s="102"/>
      <c r="B30" s="10" t="s">
        <v>293</v>
      </c>
      <c r="C30" s="10" t="s">
        <v>294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46"/>
      <c r="T30" s="46"/>
      <c r="U30" s="11" t="b">
        <f t="shared" si="0"/>
        <v>0</v>
      </c>
      <c r="V30" s="12"/>
    </row>
    <row r="31" spans="1:22" s="101" customFormat="1" x14ac:dyDescent="0.3">
      <c r="A31" s="102"/>
      <c r="B31" s="100">
        <v>8</v>
      </c>
      <c r="C31" s="100" t="s">
        <v>316</v>
      </c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9"/>
    </row>
    <row r="32" spans="1:22" x14ac:dyDescent="0.3">
      <c r="A32" s="102"/>
      <c r="B32" s="10" t="s">
        <v>90</v>
      </c>
      <c r="C32" s="10" t="s">
        <v>310</v>
      </c>
      <c r="D32" s="11"/>
      <c r="E32" s="11"/>
      <c r="F32" s="11"/>
      <c r="G32" s="11"/>
      <c r="H32" s="11" t="s">
        <v>16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46"/>
      <c r="T32" s="46"/>
      <c r="U32" s="11" t="b">
        <f t="shared" si="0"/>
        <v>1</v>
      </c>
      <c r="V32" s="12"/>
    </row>
    <row r="33" spans="1:22" x14ac:dyDescent="0.3">
      <c r="A33" s="102"/>
      <c r="B33" s="10" t="s">
        <v>92</v>
      </c>
      <c r="C33" s="10" t="s">
        <v>93</v>
      </c>
      <c r="D33" s="11" t="s">
        <v>16</v>
      </c>
      <c r="E33" s="11" t="s">
        <v>16</v>
      </c>
      <c r="F33" s="11"/>
      <c r="G33" s="11" t="s">
        <v>16</v>
      </c>
      <c r="H33" s="11"/>
      <c r="I33" s="11"/>
      <c r="J33" s="11"/>
      <c r="K33" s="11"/>
      <c r="L33" s="11"/>
      <c r="M33" s="11"/>
      <c r="N33" s="11"/>
      <c r="O33" s="11"/>
      <c r="P33" s="11"/>
      <c r="Q33" s="11" t="s">
        <v>16</v>
      </c>
      <c r="R33" s="11"/>
      <c r="S33" s="46"/>
      <c r="T33" s="46"/>
      <c r="U33" s="11" t="b">
        <f t="shared" si="0"/>
        <v>1</v>
      </c>
      <c r="V33" s="12"/>
    </row>
    <row r="34" spans="1:22" x14ac:dyDescent="0.3">
      <c r="A34" s="102"/>
      <c r="B34" s="10" t="s">
        <v>94</v>
      </c>
      <c r="C34" s="10" t="s">
        <v>95</v>
      </c>
      <c r="D34" s="11" t="s">
        <v>16</v>
      </c>
      <c r="E34" s="11" t="s">
        <v>16</v>
      </c>
      <c r="F34" s="11"/>
      <c r="G34" s="11" t="s">
        <v>16</v>
      </c>
      <c r="H34" s="11"/>
      <c r="I34" s="11"/>
      <c r="J34" s="11"/>
      <c r="K34" s="11"/>
      <c r="L34" s="11"/>
      <c r="M34" s="11"/>
      <c r="N34" s="11"/>
      <c r="O34" s="11"/>
      <c r="P34" s="11"/>
      <c r="Q34" s="11" t="s">
        <v>16</v>
      </c>
      <c r="R34" s="11"/>
      <c r="S34" s="46"/>
      <c r="T34" s="46"/>
      <c r="U34" s="11" t="b">
        <f t="shared" si="0"/>
        <v>1</v>
      </c>
      <c r="V34" s="12"/>
    </row>
    <row r="35" spans="1:22" x14ac:dyDescent="0.3">
      <c r="A35" s="102"/>
      <c r="B35" s="100">
        <v>9</v>
      </c>
      <c r="C35" s="100" t="s">
        <v>317</v>
      </c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9"/>
    </row>
    <row r="36" spans="1:22" x14ac:dyDescent="0.3">
      <c r="A36" s="102"/>
      <c r="B36" s="10" t="s">
        <v>96</v>
      </c>
      <c r="C36" s="10" t="s">
        <v>97</v>
      </c>
      <c r="D36" s="11" t="s">
        <v>16</v>
      </c>
      <c r="E36" s="11" t="s">
        <v>16</v>
      </c>
      <c r="F36" s="11"/>
      <c r="G36" s="11" t="s">
        <v>16</v>
      </c>
      <c r="H36" s="11"/>
      <c r="I36" s="11"/>
      <c r="J36" s="11"/>
      <c r="K36" s="11" t="s">
        <v>16</v>
      </c>
      <c r="L36" s="11"/>
      <c r="M36" s="11"/>
      <c r="N36" s="11" t="s">
        <v>16</v>
      </c>
      <c r="O36" s="11"/>
      <c r="P36" s="11"/>
      <c r="Q36" s="11"/>
      <c r="R36" s="11"/>
      <c r="S36" s="46"/>
      <c r="T36" s="46"/>
      <c r="U36" s="11" t="b">
        <f t="shared" si="0"/>
        <v>1</v>
      </c>
      <c r="V36" s="12"/>
    </row>
    <row r="37" spans="1:22" x14ac:dyDescent="0.3">
      <c r="A37" s="102"/>
      <c r="B37" s="10" t="s">
        <v>98</v>
      </c>
      <c r="C37" s="10" t="s">
        <v>99</v>
      </c>
      <c r="D37" s="11" t="s">
        <v>16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46"/>
      <c r="T37" s="46"/>
      <c r="U37" s="11" t="b">
        <f t="shared" si="0"/>
        <v>1</v>
      </c>
      <c r="V37" s="12"/>
    </row>
    <row r="38" spans="1:22" x14ac:dyDescent="0.3">
      <c r="A38" s="102"/>
      <c r="B38" s="10" t="s">
        <v>295</v>
      </c>
      <c r="C38" s="10" t="s">
        <v>296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46"/>
      <c r="T38" s="46"/>
      <c r="U38" s="11"/>
      <c r="V38" s="12"/>
    </row>
    <row r="39" spans="1:22" x14ac:dyDescent="0.3">
      <c r="A39" s="102"/>
      <c r="B39" s="10" t="s">
        <v>297</v>
      </c>
      <c r="C39" s="10" t="s">
        <v>298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46"/>
      <c r="T39" s="46"/>
      <c r="U39" s="11"/>
      <c r="V39" s="12"/>
    </row>
    <row r="40" spans="1:22" x14ac:dyDescent="0.3">
      <c r="A40" s="102"/>
      <c r="B40" s="10" t="s">
        <v>100</v>
      </c>
      <c r="C40" s="10" t="s">
        <v>101</v>
      </c>
      <c r="D40" s="11" t="s">
        <v>16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46"/>
      <c r="T40" s="46"/>
      <c r="U40" s="11" t="b">
        <f t="shared" si="0"/>
        <v>1</v>
      </c>
      <c r="V40" s="12"/>
    </row>
    <row r="41" spans="1:22" x14ac:dyDescent="0.3">
      <c r="A41" s="102"/>
      <c r="B41" s="10">
        <v>10</v>
      </c>
      <c r="C41" s="10" t="s">
        <v>319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46"/>
      <c r="T41" s="46"/>
      <c r="U41" s="11"/>
      <c r="V41" s="12"/>
    </row>
    <row r="42" spans="1:22" x14ac:dyDescent="0.3">
      <c r="A42" s="102"/>
      <c r="B42" s="10" t="s">
        <v>102</v>
      </c>
      <c r="C42" s="10" t="s">
        <v>105</v>
      </c>
      <c r="D42" s="11" t="s">
        <v>16</v>
      </c>
      <c r="E42" s="11" t="s">
        <v>16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46"/>
      <c r="T42" s="46"/>
      <c r="U42" s="11" t="b">
        <f t="shared" si="0"/>
        <v>1</v>
      </c>
      <c r="V42" s="12"/>
    </row>
    <row r="43" spans="1:22" x14ac:dyDescent="0.3">
      <c r="A43" s="102"/>
      <c r="B43" s="10" t="s">
        <v>104</v>
      </c>
      <c r="C43" s="10" t="s">
        <v>299</v>
      </c>
      <c r="D43" s="11" t="s">
        <v>16</v>
      </c>
      <c r="E43" s="11" t="s">
        <v>16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46"/>
      <c r="T43" s="46"/>
      <c r="U43" s="11" t="b">
        <f t="shared" si="0"/>
        <v>1</v>
      </c>
      <c r="V43" s="12"/>
    </row>
    <row r="44" spans="1:22" s="27" customFormat="1" x14ac:dyDescent="0.3">
      <c r="A44" s="103" t="s">
        <v>15</v>
      </c>
      <c r="B44" s="13" t="s">
        <v>311</v>
      </c>
      <c r="C44" s="13" t="s">
        <v>318</v>
      </c>
      <c r="D44" s="14" t="s">
        <v>16</v>
      </c>
      <c r="E44" s="14" t="s">
        <v>16</v>
      </c>
      <c r="F44" s="14"/>
      <c r="G44" s="14" t="s">
        <v>16</v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47"/>
      <c r="T44" s="47"/>
      <c r="U44" s="14" t="b">
        <f t="shared" si="0"/>
        <v>1</v>
      </c>
      <c r="V44" s="15"/>
    </row>
    <row r="45" spans="1:22" s="27" customFormat="1" x14ac:dyDescent="0.3">
      <c r="A45" s="103"/>
      <c r="B45" s="13"/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47"/>
      <c r="T45" s="47"/>
      <c r="U45" s="14"/>
      <c r="V45" s="15"/>
    </row>
    <row r="46" spans="1:22" s="27" customFormat="1" x14ac:dyDescent="0.3">
      <c r="A46" s="103"/>
      <c r="B46" s="13" t="s">
        <v>108</v>
      </c>
      <c r="C46" s="13" t="s">
        <v>109</v>
      </c>
      <c r="D46" s="14" t="s">
        <v>16</v>
      </c>
      <c r="E46" s="14"/>
      <c r="F46" s="14"/>
      <c r="G46" s="14"/>
      <c r="H46" s="14"/>
      <c r="I46" s="14"/>
      <c r="J46" s="14"/>
      <c r="K46" s="14" t="s">
        <v>16</v>
      </c>
      <c r="L46" s="14"/>
      <c r="M46" s="14"/>
      <c r="N46" s="14"/>
      <c r="O46" s="14"/>
      <c r="P46" s="14"/>
      <c r="Q46" s="14"/>
      <c r="R46" s="14"/>
      <c r="S46" s="47"/>
      <c r="T46" s="47"/>
      <c r="U46" s="14" t="b">
        <f t="shared" si="0"/>
        <v>1</v>
      </c>
      <c r="V46" s="15"/>
    </row>
    <row r="47" spans="1:22" s="27" customFormat="1" x14ac:dyDescent="0.3">
      <c r="A47" s="103"/>
      <c r="B47" s="13" t="s">
        <v>110</v>
      </c>
      <c r="C47" s="13" t="s">
        <v>111</v>
      </c>
      <c r="D47" s="14" t="s">
        <v>16</v>
      </c>
      <c r="E47" s="14"/>
      <c r="F47" s="14"/>
      <c r="G47" s="14" t="s">
        <v>16</v>
      </c>
      <c r="H47" s="14"/>
      <c r="I47" s="14"/>
      <c r="J47" s="14"/>
      <c r="K47" s="14" t="s">
        <v>16</v>
      </c>
      <c r="L47" s="14"/>
      <c r="M47" s="14"/>
      <c r="N47" s="14"/>
      <c r="O47" s="14"/>
      <c r="P47" s="14"/>
      <c r="Q47" s="14"/>
      <c r="R47" s="14"/>
      <c r="S47" s="47"/>
      <c r="T47" s="47"/>
      <c r="U47" s="14" t="b">
        <f t="shared" si="0"/>
        <v>1</v>
      </c>
      <c r="V47" s="15"/>
    </row>
    <row r="48" spans="1:22" s="27" customFormat="1" x14ac:dyDescent="0.3">
      <c r="A48" s="103"/>
      <c r="B48" s="13" t="s">
        <v>112</v>
      </c>
      <c r="C48" s="13" t="s">
        <v>113</v>
      </c>
      <c r="D48" s="14"/>
      <c r="E48" s="14"/>
      <c r="F48" s="14"/>
      <c r="G48" s="14"/>
      <c r="H48" s="14"/>
      <c r="I48" s="14"/>
      <c r="J48" s="14"/>
      <c r="K48" s="14" t="s">
        <v>16</v>
      </c>
      <c r="L48" s="14"/>
      <c r="M48" s="14"/>
      <c r="N48" s="14"/>
      <c r="O48" s="14"/>
      <c r="P48" s="14"/>
      <c r="Q48" s="14"/>
      <c r="R48" s="14"/>
      <c r="S48" s="47"/>
      <c r="T48" s="47"/>
      <c r="U48" s="14" t="b">
        <f t="shared" si="0"/>
        <v>1</v>
      </c>
      <c r="V48" s="15"/>
    </row>
    <row r="49" spans="1:22" s="27" customFormat="1" x14ac:dyDescent="0.3">
      <c r="A49" s="103"/>
      <c r="B49" s="13" t="s">
        <v>114</v>
      </c>
      <c r="C49" s="13" t="s">
        <v>115</v>
      </c>
      <c r="D49" s="14"/>
      <c r="E49" s="14"/>
      <c r="F49" s="14"/>
      <c r="G49" s="14"/>
      <c r="H49" s="14"/>
      <c r="I49" s="14"/>
      <c r="J49" s="14"/>
      <c r="K49" s="14" t="s">
        <v>16</v>
      </c>
      <c r="L49" s="14"/>
      <c r="M49" s="14"/>
      <c r="N49" s="14"/>
      <c r="O49" s="14"/>
      <c r="P49" s="14"/>
      <c r="Q49" s="14"/>
      <c r="R49" s="14"/>
      <c r="S49" s="47"/>
      <c r="T49" s="47"/>
      <c r="U49" s="14" t="b">
        <f t="shared" si="0"/>
        <v>1</v>
      </c>
      <c r="V49" s="15"/>
    </row>
    <row r="50" spans="1:22" s="27" customFormat="1" x14ac:dyDescent="0.3">
      <c r="A50" s="103"/>
      <c r="B50" s="13" t="s">
        <v>116</v>
      </c>
      <c r="C50" s="13" t="s">
        <v>117</v>
      </c>
      <c r="D50" s="14"/>
      <c r="E50" s="14"/>
      <c r="F50" s="14"/>
      <c r="G50" s="14"/>
      <c r="H50" s="14"/>
      <c r="I50" s="14"/>
      <c r="J50" s="14"/>
      <c r="K50" s="14" t="s">
        <v>16</v>
      </c>
      <c r="L50" s="14"/>
      <c r="M50" s="14"/>
      <c r="N50" s="14"/>
      <c r="O50" s="14"/>
      <c r="P50" s="14"/>
      <c r="Q50" s="14"/>
      <c r="R50" s="14"/>
      <c r="S50" s="47"/>
      <c r="T50" s="47"/>
      <c r="U50" s="14" t="b">
        <f t="shared" si="0"/>
        <v>1</v>
      </c>
      <c r="V50" s="15"/>
    </row>
    <row r="51" spans="1:22" s="27" customFormat="1" x14ac:dyDescent="0.3">
      <c r="A51" s="103"/>
      <c r="B51" s="13" t="s">
        <v>118</v>
      </c>
      <c r="C51" s="13" t="s">
        <v>119</v>
      </c>
      <c r="D51" s="14" t="s">
        <v>16</v>
      </c>
      <c r="E51" s="14"/>
      <c r="F51" s="14"/>
      <c r="G51" s="14" t="s">
        <v>16</v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47"/>
      <c r="T51" s="47"/>
      <c r="U51" s="14" t="b">
        <f t="shared" si="0"/>
        <v>1</v>
      </c>
      <c r="V51" s="15"/>
    </row>
    <row r="52" spans="1:22" s="27" customFormat="1" x14ac:dyDescent="0.3">
      <c r="A52" s="103"/>
      <c r="B52" s="13" t="s">
        <v>120</v>
      </c>
      <c r="C52" s="13" t="s">
        <v>121</v>
      </c>
      <c r="D52" s="14" t="s">
        <v>16</v>
      </c>
      <c r="E52" s="14"/>
      <c r="F52" s="14"/>
      <c r="G52" s="14" t="s">
        <v>16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47"/>
      <c r="T52" s="47"/>
      <c r="U52" s="14" t="b">
        <f t="shared" si="0"/>
        <v>1</v>
      </c>
      <c r="V52" s="15"/>
    </row>
    <row r="53" spans="1:22" s="27" customFormat="1" x14ac:dyDescent="0.3">
      <c r="A53" s="103"/>
      <c r="B53" s="13" t="s">
        <v>122</v>
      </c>
      <c r="C53" s="13" t="s">
        <v>123</v>
      </c>
      <c r="D53" s="14"/>
      <c r="E53" s="14"/>
      <c r="F53" s="14"/>
      <c r="G53" s="14" t="s">
        <v>16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47"/>
      <c r="T53" s="47"/>
      <c r="U53" s="14" t="b">
        <f t="shared" si="0"/>
        <v>1</v>
      </c>
      <c r="V53" s="15"/>
    </row>
    <row r="54" spans="1:22" s="27" customFormat="1" x14ac:dyDescent="0.3">
      <c r="A54" s="103"/>
      <c r="B54" s="13" t="s">
        <v>124</v>
      </c>
      <c r="C54" s="13" t="s">
        <v>125</v>
      </c>
      <c r="D54" s="14"/>
      <c r="E54" s="14"/>
      <c r="F54" s="14"/>
      <c r="G54" s="14" t="s">
        <v>16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47"/>
      <c r="T54" s="47"/>
      <c r="U54" s="14" t="b">
        <f t="shared" si="0"/>
        <v>1</v>
      </c>
      <c r="V54" s="15"/>
    </row>
    <row r="55" spans="1:22" s="27" customFormat="1" x14ac:dyDescent="0.3">
      <c r="A55" s="103"/>
      <c r="B55" s="13" t="s">
        <v>126</v>
      </c>
      <c r="C55" s="13" t="s">
        <v>127</v>
      </c>
      <c r="D55" s="14"/>
      <c r="E55" s="14"/>
      <c r="F55" s="14" t="s">
        <v>16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47"/>
      <c r="T55" s="47"/>
      <c r="U55" s="14" t="b">
        <f t="shared" ref="U55:U79" si="1">COUNTA(D55:T55)&gt;0</f>
        <v>1</v>
      </c>
      <c r="V55" s="15"/>
    </row>
    <row r="56" spans="1:22" s="27" customFormat="1" x14ac:dyDescent="0.3">
      <c r="A56" s="103"/>
      <c r="B56" s="13" t="s">
        <v>128</v>
      </c>
      <c r="C56" s="13" t="s">
        <v>129</v>
      </c>
      <c r="D56" s="14"/>
      <c r="E56" s="14"/>
      <c r="F56" s="14"/>
      <c r="G56" s="14" t="s">
        <v>16</v>
      </c>
      <c r="H56" s="14"/>
      <c r="I56" s="14"/>
      <c r="J56" s="14"/>
      <c r="K56" s="14" t="s">
        <v>16</v>
      </c>
      <c r="L56" s="14"/>
      <c r="M56" s="14"/>
      <c r="N56" s="14"/>
      <c r="O56" s="14"/>
      <c r="P56" s="14"/>
      <c r="Q56" s="14"/>
      <c r="R56" s="14"/>
      <c r="S56" s="47"/>
      <c r="T56" s="47"/>
      <c r="U56" s="14" t="b">
        <f t="shared" si="1"/>
        <v>1</v>
      </c>
      <c r="V56" s="15"/>
    </row>
    <row r="57" spans="1:22" s="27" customFormat="1" x14ac:dyDescent="0.3">
      <c r="A57" s="103"/>
      <c r="B57" s="13" t="s">
        <v>130</v>
      </c>
      <c r="C57" s="13" t="s">
        <v>131</v>
      </c>
      <c r="D57" s="14"/>
      <c r="E57" s="14"/>
      <c r="F57" s="14"/>
      <c r="G57" s="14" t="s">
        <v>16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47"/>
      <c r="T57" s="47"/>
      <c r="U57" s="14" t="b">
        <f t="shared" si="1"/>
        <v>1</v>
      </c>
      <c r="V57" s="15"/>
    </row>
    <row r="58" spans="1:22" s="27" customFormat="1" x14ac:dyDescent="0.3">
      <c r="A58" s="103"/>
      <c r="B58" s="13" t="s">
        <v>132</v>
      </c>
      <c r="C58" s="13" t="s">
        <v>133</v>
      </c>
      <c r="D58" s="14"/>
      <c r="E58" s="14"/>
      <c r="F58" s="14"/>
      <c r="G58" s="14" t="s">
        <v>16</v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47"/>
      <c r="T58" s="47"/>
      <c r="U58" s="14" t="b">
        <f t="shared" si="1"/>
        <v>1</v>
      </c>
      <c r="V58" s="15"/>
    </row>
    <row r="59" spans="1:22" s="27" customFormat="1" x14ac:dyDescent="0.3">
      <c r="A59" s="103"/>
      <c r="B59" s="13" t="s">
        <v>134</v>
      </c>
      <c r="C59" s="13" t="s">
        <v>135</v>
      </c>
      <c r="D59" s="14"/>
      <c r="E59" s="14"/>
      <c r="F59" s="14" t="s">
        <v>16</v>
      </c>
      <c r="G59" s="14" t="s">
        <v>16</v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47"/>
      <c r="T59" s="47"/>
      <c r="U59" s="14" t="b">
        <f t="shared" si="1"/>
        <v>1</v>
      </c>
      <c r="V59" s="15"/>
    </row>
    <row r="60" spans="1:22" s="27" customFormat="1" x14ac:dyDescent="0.3">
      <c r="A60" s="103"/>
      <c r="B60" s="13" t="s">
        <v>136</v>
      </c>
      <c r="C60" s="13" t="s">
        <v>137</v>
      </c>
      <c r="D60" s="14"/>
      <c r="E60" s="14"/>
      <c r="F60" s="14" t="s">
        <v>16</v>
      </c>
      <c r="G60" s="14" t="s">
        <v>16</v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47"/>
      <c r="T60" s="47"/>
      <c r="U60" s="14" t="b">
        <f t="shared" si="1"/>
        <v>1</v>
      </c>
      <c r="V60" s="15"/>
    </row>
    <row r="61" spans="1:22" s="27" customFormat="1" x14ac:dyDescent="0.3">
      <c r="A61" s="103"/>
      <c r="B61" s="13" t="s">
        <v>138</v>
      </c>
      <c r="C61" s="13" t="s">
        <v>139</v>
      </c>
      <c r="D61" s="14"/>
      <c r="E61" s="14"/>
      <c r="F61" s="14"/>
      <c r="G61" s="14" t="s">
        <v>16</v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47"/>
      <c r="T61" s="47"/>
      <c r="U61" s="14" t="b">
        <f t="shared" si="1"/>
        <v>1</v>
      </c>
      <c r="V61" s="15"/>
    </row>
    <row r="62" spans="1:22" s="27" customFormat="1" x14ac:dyDescent="0.3">
      <c r="A62" s="103"/>
      <c r="B62" s="13" t="s">
        <v>140</v>
      </c>
      <c r="C62" s="13" t="s">
        <v>141</v>
      </c>
      <c r="D62" s="14"/>
      <c r="E62" s="14"/>
      <c r="F62" s="14"/>
      <c r="G62" s="14" t="s">
        <v>16</v>
      </c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47"/>
      <c r="T62" s="47"/>
      <c r="U62" s="14" t="b">
        <f t="shared" si="1"/>
        <v>1</v>
      </c>
      <c r="V62" s="15"/>
    </row>
    <row r="63" spans="1:22" s="27" customFormat="1" x14ac:dyDescent="0.3">
      <c r="A63" s="103"/>
      <c r="B63" s="13" t="s">
        <v>142</v>
      </c>
      <c r="C63" s="13" t="s">
        <v>143</v>
      </c>
      <c r="D63" s="14"/>
      <c r="E63" s="14"/>
      <c r="F63" s="14"/>
      <c r="G63" s="14" t="s">
        <v>16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47"/>
      <c r="T63" s="47"/>
      <c r="U63" s="14" t="b">
        <f t="shared" si="1"/>
        <v>1</v>
      </c>
      <c r="V63" s="15"/>
    </row>
    <row r="64" spans="1:22" s="27" customFormat="1" x14ac:dyDescent="0.3">
      <c r="A64" s="103"/>
      <c r="B64" s="13" t="s">
        <v>144</v>
      </c>
      <c r="C64" s="13" t="s">
        <v>145</v>
      </c>
      <c r="D64" s="14"/>
      <c r="E64" s="14"/>
      <c r="F64" s="14"/>
      <c r="G64" s="14" t="s">
        <v>16</v>
      </c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47"/>
      <c r="T64" s="47"/>
      <c r="U64" s="14" t="b">
        <f t="shared" si="1"/>
        <v>1</v>
      </c>
      <c r="V64" s="15"/>
    </row>
    <row r="65" spans="1:22" s="27" customFormat="1" x14ac:dyDescent="0.3">
      <c r="A65" s="103"/>
      <c r="B65" s="13" t="s">
        <v>146</v>
      </c>
      <c r="C65" s="13" t="s">
        <v>147</v>
      </c>
      <c r="D65" s="14"/>
      <c r="E65" s="14"/>
      <c r="F65" s="14"/>
      <c r="G65" s="14" t="s">
        <v>16</v>
      </c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47"/>
      <c r="T65" s="47"/>
      <c r="U65" s="14" t="b">
        <f t="shared" si="1"/>
        <v>1</v>
      </c>
      <c r="V65" s="15"/>
    </row>
    <row r="66" spans="1:22" s="27" customFormat="1" x14ac:dyDescent="0.3">
      <c r="A66" s="103"/>
      <c r="B66" s="13" t="s">
        <v>148</v>
      </c>
      <c r="C66" s="13" t="s">
        <v>149</v>
      </c>
      <c r="D66" s="14"/>
      <c r="E66" s="14"/>
      <c r="F66" s="14"/>
      <c r="G66" s="14" t="s">
        <v>16</v>
      </c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47"/>
      <c r="T66" s="47"/>
      <c r="U66" s="14" t="b">
        <f t="shared" si="1"/>
        <v>1</v>
      </c>
      <c r="V66" s="15"/>
    </row>
    <row r="67" spans="1:22" s="27" customFormat="1" x14ac:dyDescent="0.3">
      <c r="A67" s="103"/>
      <c r="B67" s="13" t="s">
        <v>150</v>
      </c>
      <c r="C67" s="13" t="s">
        <v>151</v>
      </c>
      <c r="D67" s="14"/>
      <c r="E67" s="14"/>
      <c r="F67" s="14" t="s">
        <v>16</v>
      </c>
      <c r="G67" s="14" t="s">
        <v>16</v>
      </c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47"/>
      <c r="T67" s="47"/>
      <c r="U67" s="14" t="b">
        <f t="shared" si="1"/>
        <v>1</v>
      </c>
      <c r="V67" s="15"/>
    </row>
    <row r="68" spans="1:22" s="27" customFormat="1" x14ac:dyDescent="0.3">
      <c r="A68" s="103"/>
      <c r="B68" s="13" t="s">
        <v>152</v>
      </c>
      <c r="C68" s="13" t="s">
        <v>153</v>
      </c>
      <c r="D68" s="14"/>
      <c r="E68" s="14"/>
      <c r="F68" s="14"/>
      <c r="G68" s="14" t="s">
        <v>16</v>
      </c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47"/>
      <c r="T68" s="47"/>
      <c r="U68" s="14" t="b">
        <f t="shared" si="1"/>
        <v>1</v>
      </c>
      <c r="V68" s="15"/>
    </row>
    <row r="69" spans="1:22" s="27" customFormat="1" x14ac:dyDescent="0.3">
      <c r="A69" s="103"/>
      <c r="B69" s="13" t="s">
        <v>154</v>
      </c>
      <c r="C69" s="13" t="s">
        <v>155</v>
      </c>
      <c r="D69" s="14" t="s">
        <v>16</v>
      </c>
      <c r="E69" s="14"/>
      <c r="F69" s="14"/>
      <c r="G69" s="14" t="s">
        <v>16</v>
      </c>
      <c r="H69" s="14"/>
      <c r="I69" s="14"/>
      <c r="J69" s="14"/>
      <c r="K69" s="14"/>
      <c r="L69" s="14"/>
      <c r="M69" s="14" t="s">
        <v>16</v>
      </c>
      <c r="N69" s="14" t="s">
        <v>16</v>
      </c>
      <c r="O69" s="14"/>
      <c r="P69" s="14" t="s">
        <v>16</v>
      </c>
      <c r="Q69" s="14" t="s">
        <v>16</v>
      </c>
      <c r="R69" s="14" t="s">
        <v>16</v>
      </c>
      <c r="S69" s="47"/>
      <c r="T69" s="47"/>
      <c r="U69" s="14" t="b">
        <f t="shared" si="1"/>
        <v>1</v>
      </c>
      <c r="V69" s="15"/>
    </row>
    <row r="70" spans="1:22" s="27" customFormat="1" x14ac:dyDescent="0.3">
      <c r="A70" s="103"/>
      <c r="B70" s="13" t="s">
        <v>156</v>
      </c>
      <c r="C70" s="13" t="s">
        <v>157</v>
      </c>
      <c r="D70" s="14"/>
      <c r="E70" s="14"/>
      <c r="F70" s="14"/>
      <c r="G70" s="14" t="s">
        <v>16</v>
      </c>
      <c r="H70" s="14"/>
      <c r="I70" s="14"/>
      <c r="J70" s="14"/>
      <c r="K70" s="14"/>
      <c r="L70" s="14"/>
      <c r="M70" s="14"/>
      <c r="N70" s="14"/>
      <c r="O70" s="14"/>
      <c r="P70" s="14" t="s">
        <v>16</v>
      </c>
      <c r="Q70" s="14"/>
      <c r="R70" s="14"/>
      <c r="S70" s="47"/>
      <c r="T70" s="47"/>
      <c r="U70" s="14" t="b">
        <f t="shared" si="1"/>
        <v>1</v>
      </c>
      <c r="V70" s="15"/>
    </row>
    <row r="71" spans="1:22" s="27" customFormat="1" x14ac:dyDescent="0.3">
      <c r="A71" s="103"/>
      <c r="B71" s="13" t="s">
        <v>158</v>
      </c>
      <c r="C71" s="13" t="s">
        <v>159</v>
      </c>
      <c r="D71" s="14"/>
      <c r="E71" s="14"/>
      <c r="F71" s="14"/>
      <c r="G71" s="14" t="s">
        <v>16</v>
      </c>
      <c r="H71" s="14"/>
      <c r="I71" s="14"/>
      <c r="J71" s="14"/>
      <c r="K71" s="14"/>
      <c r="L71" s="14"/>
      <c r="M71" s="14"/>
      <c r="N71" s="14"/>
      <c r="O71" s="14"/>
      <c r="P71" s="14" t="s">
        <v>16</v>
      </c>
      <c r="Q71" s="14"/>
      <c r="R71" s="14"/>
      <c r="S71" s="47"/>
      <c r="T71" s="47"/>
      <c r="U71" s="14" t="b">
        <f t="shared" si="1"/>
        <v>1</v>
      </c>
      <c r="V71" s="15"/>
    </row>
    <row r="72" spans="1:22" s="27" customFormat="1" x14ac:dyDescent="0.3">
      <c r="A72" s="103"/>
      <c r="B72" s="13" t="s">
        <v>160</v>
      </c>
      <c r="C72" s="13" t="s">
        <v>161</v>
      </c>
      <c r="D72" s="14"/>
      <c r="E72" s="14"/>
      <c r="F72" s="14"/>
      <c r="G72" s="14" t="s">
        <v>16</v>
      </c>
      <c r="H72" s="14"/>
      <c r="I72" s="14"/>
      <c r="J72" s="14"/>
      <c r="K72" s="14"/>
      <c r="L72" s="14"/>
      <c r="M72" s="14"/>
      <c r="N72" s="14"/>
      <c r="O72" s="14"/>
      <c r="P72" s="14" t="s">
        <v>16</v>
      </c>
      <c r="Q72" s="14"/>
      <c r="R72" s="14"/>
      <c r="S72" s="47"/>
      <c r="T72" s="47"/>
      <c r="U72" s="14" t="b">
        <f t="shared" si="1"/>
        <v>1</v>
      </c>
      <c r="V72" s="15"/>
    </row>
    <row r="73" spans="1:22" s="27" customFormat="1" x14ac:dyDescent="0.3">
      <c r="A73" s="103"/>
      <c r="B73" s="13" t="s">
        <v>162</v>
      </c>
      <c r="C73" s="13" t="s">
        <v>163</v>
      </c>
      <c r="D73" s="14"/>
      <c r="E73" s="14"/>
      <c r="F73" s="14"/>
      <c r="G73" s="14" t="s">
        <v>16</v>
      </c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47"/>
      <c r="T73" s="47"/>
      <c r="U73" s="14" t="b">
        <f t="shared" si="1"/>
        <v>1</v>
      </c>
      <c r="V73" s="15"/>
    </row>
    <row r="74" spans="1:22" s="27" customFormat="1" x14ac:dyDescent="0.3">
      <c r="A74" s="103"/>
      <c r="B74" s="13" t="s">
        <v>164</v>
      </c>
      <c r="C74" s="13" t="s">
        <v>165</v>
      </c>
      <c r="D74" s="14"/>
      <c r="E74" s="14"/>
      <c r="F74" s="14"/>
      <c r="G74" s="14" t="s">
        <v>16</v>
      </c>
      <c r="H74" s="14"/>
      <c r="I74" s="14"/>
      <c r="J74" s="14"/>
      <c r="K74" s="14"/>
      <c r="L74" s="14"/>
      <c r="M74" s="14"/>
      <c r="N74" s="14"/>
      <c r="O74" s="14"/>
      <c r="P74" s="14"/>
      <c r="Q74" s="14" t="s">
        <v>16</v>
      </c>
      <c r="R74" s="14"/>
      <c r="S74" s="47"/>
      <c r="T74" s="47"/>
      <c r="U74" s="14" t="b">
        <f t="shared" si="1"/>
        <v>1</v>
      </c>
      <c r="V74" s="15"/>
    </row>
    <row r="75" spans="1:22" s="27" customFormat="1" x14ac:dyDescent="0.3">
      <c r="A75" s="103"/>
      <c r="B75" s="13" t="s">
        <v>166</v>
      </c>
      <c r="C75" s="13" t="s">
        <v>167</v>
      </c>
      <c r="D75" s="14"/>
      <c r="E75" s="14"/>
      <c r="F75" s="14"/>
      <c r="G75" s="14" t="s">
        <v>16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47"/>
      <c r="T75" s="47"/>
      <c r="U75" s="14" t="b">
        <f t="shared" si="1"/>
        <v>1</v>
      </c>
      <c r="V75" s="15"/>
    </row>
    <row r="76" spans="1:22" s="27" customFormat="1" x14ac:dyDescent="0.3">
      <c r="A76" s="103"/>
      <c r="B76" s="13" t="s">
        <v>168</v>
      </c>
      <c r="C76" s="13" t="s">
        <v>169</v>
      </c>
      <c r="D76" s="14"/>
      <c r="E76" s="14"/>
      <c r="F76" s="14"/>
      <c r="G76" s="14" t="s">
        <v>16</v>
      </c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47"/>
      <c r="T76" s="47"/>
      <c r="U76" s="14" t="b">
        <f t="shared" si="1"/>
        <v>1</v>
      </c>
      <c r="V76" s="15"/>
    </row>
    <row r="77" spans="1:22" s="27" customFormat="1" x14ac:dyDescent="0.3">
      <c r="A77" s="103"/>
      <c r="B77" s="13" t="s">
        <v>170</v>
      </c>
      <c r="C77" s="13" t="s">
        <v>171</v>
      </c>
      <c r="D77" s="14"/>
      <c r="E77" s="14"/>
      <c r="F77" s="14"/>
      <c r="G77" s="14" t="s">
        <v>16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47"/>
      <c r="T77" s="47"/>
      <c r="U77" s="14" t="b">
        <f t="shared" si="1"/>
        <v>1</v>
      </c>
      <c r="V77" s="15"/>
    </row>
    <row r="78" spans="1:22" s="27" customFormat="1" x14ac:dyDescent="0.3">
      <c r="A78" s="103"/>
      <c r="B78" s="13" t="s">
        <v>172</v>
      </c>
      <c r="C78" s="13" t="s">
        <v>173</v>
      </c>
      <c r="D78" s="14" t="s">
        <v>16</v>
      </c>
      <c r="E78" s="14"/>
      <c r="F78" s="14"/>
      <c r="G78" s="14"/>
      <c r="H78" s="14" t="s">
        <v>16</v>
      </c>
      <c r="I78" s="14"/>
      <c r="J78" s="14"/>
      <c r="K78" s="14"/>
      <c r="L78" s="14"/>
      <c r="M78" s="14"/>
      <c r="N78" s="14"/>
      <c r="O78" s="14"/>
      <c r="P78" s="14"/>
      <c r="Q78" s="14" t="s">
        <v>16</v>
      </c>
      <c r="R78" s="14"/>
      <c r="S78" s="47"/>
      <c r="T78" s="47"/>
      <c r="U78" s="14" t="b">
        <f t="shared" si="1"/>
        <v>1</v>
      </c>
      <c r="V78" s="15"/>
    </row>
    <row r="79" spans="1:22" s="27" customFormat="1" x14ac:dyDescent="0.3">
      <c r="A79" s="103"/>
      <c r="B79" s="13" t="s">
        <v>174</v>
      </c>
      <c r="C79" s="13" t="s">
        <v>175</v>
      </c>
      <c r="D79" s="14" t="s">
        <v>16</v>
      </c>
      <c r="E79" s="14"/>
      <c r="F79" s="14"/>
      <c r="G79" s="14" t="s">
        <v>16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47"/>
      <c r="T79" s="47"/>
      <c r="U79" s="14" t="b">
        <f t="shared" si="1"/>
        <v>1</v>
      </c>
      <c r="V79" s="15"/>
    </row>
  </sheetData>
  <autoFilter ref="A2:W79" xr:uid="{C80BF136-B30C-403D-8B56-A3A3DEAA2FC8}">
    <filterColumn colId="1" showButton="0"/>
    <filterColumn colId="20" showButton="0"/>
  </autoFilter>
  <mergeCells count="9">
    <mergeCell ref="A7:A43"/>
    <mergeCell ref="A44:A79"/>
    <mergeCell ref="U2:V2"/>
    <mergeCell ref="A3:A6"/>
    <mergeCell ref="B2:C2"/>
    <mergeCell ref="B3:C3"/>
    <mergeCell ref="B4:C4"/>
    <mergeCell ref="B5:C5"/>
    <mergeCell ref="B6:C6"/>
  </mergeCells>
  <conditionalFormatting sqref="B7:C79">
    <cfRule type="expression" dxfId="7" priority="5">
      <formula>B$24</formula>
    </cfRule>
  </conditionalFormatting>
  <conditionalFormatting sqref="V7 U8:U79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3B34-CA0D-46A0-BF20-C62EE060F495}">
  <dimension ref="A1:BO46"/>
  <sheetViews>
    <sheetView zoomScale="70" zoomScaleNormal="7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32" sqref="A32"/>
    </sheetView>
  </sheetViews>
  <sheetFormatPr defaultColWidth="0" defaultRowHeight="14.4" zeroHeight="1" x14ac:dyDescent="0.3"/>
  <cols>
    <col min="1" max="1" width="32.44140625" customWidth="1"/>
    <col min="2" max="2" width="28.21875" bestFit="1" customWidth="1"/>
    <col min="3" max="3" width="20.5546875" bestFit="1" customWidth="1"/>
    <col min="4" max="4" width="16.21875" style="48" bestFit="1" customWidth="1"/>
    <col min="5" max="5" width="7.44140625" style="48" bestFit="1" customWidth="1"/>
    <col min="6" max="8" width="6" bestFit="1" customWidth="1"/>
    <col min="9" max="9" width="13.77734375" style="92" customWidth="1"/>
    <col min="10" max="10" width="8.88671875" bestFit="1" customWidth="1"/>
    <col min="11" max="66" width="10.109375" bestFit="1" customWidth="1"/>
    <col min="67" max="67" width="8.88671875" customWidth="1"/>
    <col min="68" max="16384" width="8.88671875" hidden="1"/>
  </cols>
  <sheetData>
    <row r="1" spans="1:66" x14ac:dyDescent="0.3">
      <c r="A1" s="105"/>
      <c r="B1" s="105"/>
      <c r="C1" s="105"/>
      <c r="D1" s="105"/>
      <c r="E1" s="122" t="s">
        <v>22</v>
      </c>
      <c r="F1" s="122"/>
      <c r="G1" s="122"/>
      <c r="H1" s="123"/>
      <c r="I1" s="85"/>
      <c r="J1" s="114" t="s">
        <v>251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5" t="s">
        <v>15</v>
      </c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5"/>
      <c r="BH1" s="115"/>
      <c r="BI1" s="115"/>
      <c r="BJ1" s="115"/>
      <c r="BK1" s="115"/>
      <c r="BL1" s="115"/>
      <c r="BM1" s="115"/>
      <c r="BN1" s="115"/>
    </row>
    <row r="2" spans="1:66" x14ac:dyDescent="0.3">
      <c r="A2" s="124"/>
      <c r="B2" s="124"/>
      <c r="C2" s="124"/>
      <c r="D2" s="124"/>
      <c r="E2" s="113" t="s">
        <v>201</v>
      </c>
      <c r="F2" s="113"/>
      <c r="G2" s="113"/>
      <c r="H2" s="113"/>
      <c r="I2" s="86"/>
      <c r="J2" s="50" t="s">
        <v>62</v>
      </c>
      <c r="K2" s="50" t="s">
        <v>64</v>
      </c>
      <c r="L2" s="50" t="s">
        <v>66</v>
      </c>
      <c r="M2" s="50" t="s">
        <v>68</v>
      </c>
      <c r="N2" s="50" t="s">
        <v>70</v>
      </c>
      <c r="O2" s="50" t="s">
        <v>72</v>
      </c>
      <c r="P2" s="50" t="s">
        <v>74</v>
      </c>
      <c r="Q2" s="50" t="s">
        <v>76</v>
      </c>
      <c r="R2" s="50" t="s">
        <v>78</v>
      </c>
      <c r="S2" s="50" t="s">
        <v>80</v>
      </c>
      <c r="T2" s="50" t="s">
        <v>82</v>
      </c>
      <c r="U2" s="50" t="s">
        <v>84</v>
      </c>
      <c r="V2" s="50" t="s">
        <v>86</v>
      </c>
      <c r="W2" s="50" t="s">
        <v>88</v>
      </c>
      <c r="X2" s="50" t="s">
        <v>90</v>
      </c>
      <c r="Y2" s="50" t="s">
        <v>92</v>
      </c>
      <c r="Z2" s="50" t="s">
        <v>94</v>
      </c>
      <c r="AA2" s="50" t="s">
        <v>96</v>
      </c>
      <c r="AB2" s="50" t="s">
        <v>98</v>
      </c>
      <c r="AC2" s="50" t="s">
        <v>100</v>
      </c>
      <c r="AD2" s="50" t="s">
        <v>102</v>
      </c>
      <c r="AE2" s="50" t="s">
        <v>104</v>
      </c>
      <c r="AF2" s="51" t="s">
        <v>106</v>
      </c>
      <c r="AG2" s="51" t="s">
        <v>108</v>
      </c>
      <c r="AH2" s="51" t="s">
        <v>110</v>
      </c>
      <c r="AI2" s="51" t="s">
        <v>112</v>
      </c>
      <c r="AJ2" s="51" t="s">
        <v>114</v>
      </c>
      <c r="AK2" s="51" t="s">
        <v>116</v>
      </c>
      <c r="AL2" s="51" t="s">
        <v>118</v>
      </c>
      <c r="AM2" s="51" t="s">
        <v>120</v>
      </c>
      <c r="AN2" s="51" t="s">
        <v>122</v>
      </c>
      <c r="AO2" s="51" t="s">
        <v>124</v>
      </c>
      <c r="AP2" s="51" t="s">
        <v>126</v>
      </c>
      <c r="AQ2" s="51" t="s">
        <v>128</v>
      </c>
      <c r="AR2" s="51" t="s">
        <v>130</v>
      </c>
      <c r="AS2" s="51" t="s">
        <v>132</v>
      </c>
      <c r="AT2" s="51" t="s">
        <v>134</v>
      </c>
      <c r="AU2" s="51" t="s">
        <v>136</v>
      </c>
      <c r="AV2" s="51" t="s">
        <v>138</v>
      </c>
      <c r="AW2" s="51" t="s">
        <v>140</v>
      </c>
      <c r="AX2" s="51" t="s">
        <v>142</v>
      </c>
      <c r="AY2" s="51" t="s">
        <v>144</v>
      </c>
      <c r="AZ2" s="51" t="s">
        <v>146</v>
      </c>
      <c r="BA2" s="51" t="s">
        <v>148</v>
      </c>
      <c r="BB2" s="51" t="s">
        <v>150</v>
      </c>
      <c r="BC2" s="51" t="s">
        <v>152</v>
      </c>
      <c r="BD2" s="51" t="s">
        <v>154</v>
      </c>
      <c r="BE2" s="51" t="s">
        <v>156</v>
      </c>
      <c r="BF2" s="51" t="s">
        <v>158</v>
      </c>
      <c r="BG2" s="51" t="s">
        <v>160</v>
      </c>
      <c r="BH2" s="51" t="s">
        <v>162</v>
      </c>
      <c r="BI2" s="51" t="s">
        <v>164</v>
      </c>
      <c r="BJ2" s="51" t="s">
        <v>166</v>
      </c>
      <c r="BK2" s="51" t="s">
        <v>168</v>
      </c>
      <c r="BL2" s="51" t="s">
        <v>170</v>
      </c>
      <c r="BM2" s="51" t="s">
        <v>172</v>
      </c>
      <c r="BN2" s="51" t="s">
        <v>174</v>
      </c>
    </row>
    <row r="3" spans="1:66" ht="236.4" x14ac:dyDescent="0.3">
      <c r="A3" s="53" t="s">
        <v>272</v>
      </c>
      <c r="B3" s="20" t="s">
        <v>257</v>
      </c>
      <c r="C3" s="53" t="s">
        <v>265</v>
      </c>
      <c r="D3" s="54" t="s">
        <v>234</v>
      </c>
      <c r="E3" s="55" t="s">
        <v>0</v>
      </c>
      <c r="F3" s="56" t="s">
        <v>1</v>
      </c>
      <c r="G3" s="56" t="s">
        <v>2</v>
      </c>
      <c r="H3" s="56" t="s">
        <v>3</v>
      </c>
      <c r="I3" s="87" t="s">
        <v>256</v>
      </c>
      <c r="J3" s="57" t="s">
        <v>63</v>
      </c>
      <c r="K3" s="57" t="s">
        <v>65</v>
      </c>
      <c r="L3" s="57" t="s">
        <v>67</v>
      </c>
      <c r="M3" s="57" t="s">
        <v>69</v>
      </c>
      <c r="N3" s="57" t="s">
        <v>71</v>
      </c>
      <c r="O3" s="57" t="s">
        <v>73</v>
      </c>
      <c r="P3" s="57" t="s">
        <v>249</v>
      </c>
      <c r="Q3" s="57" t="s">
        <v>77</v>
      </c>
      <c r="R3" s="57" t="s">
        <v>79</v>
      </c>
      <c r="S3" s="57" t="s">
        <v>81</v>
      </c>
      <c r="T3" s="57" t="s">
        <v>83</v>
      </c>
      <c r="U3" s="57" t="s">
        <v>85</v>
      </c>
      <c r="V3" s="57" t="s">
        <v>87</v>
      </c>
      <c r="W3" s="94" t="s">
        <v>89</v>
      </c>
      <c r="X3" s="94" t="s">
        <v>91</v>
      </c>
      <c r="Y3" s="57" t="s">
        <v>93</v>
      </c>
      <c r="Z3" s="57" t="s">
        <v>95</v>
      </c>
      <c r="AA3" s="57" t="s">
        <v>97</v>
      </c>
      <c r="AB3" s="57" t="s">
        <v>99</v>
      </c>
      <c r="AC3" s="57" t="s">
        <v>101</v>
      </c>
      <c r="AD3" s="57" t="s">
        <v>103</v>
      </c>
      <c r="AE3" s="57" t="s">
        <v>105</v>
      </c>
      <c r="AF3" s="94" t="s">
        <v>107</v>
      </c>
      <c r="AG3" s="58" t="s">
        <v>109</v>
      </c>
      <c r="AH3" s="58" t="s">
        <v>111</v>
      </c>
      <c r="AI3" s="58" t="s">
        <v>113</v>
      </c>
      <c r="AJ3" s="58" t="s">
        <v>115</v>
      </c>
      <c r="AK3" s="58" t="s">
        <v>117</v>
      </c>
      <c r="AL3" s="58" t="s">
        <v>119</v>
      </c>
      <c r="AM3" s="58" t="s">
        <v>121</v>
      </c>
      <c r="AN3" s="58" t="s">
        <v>123</v>
      </c>
      <c r="AO3" s="58" t="s">
        <v>125</v>
      </c>
      <c r="AP3" s="58" t="s">
        <v>127</v>
      </c>
      <c r="AQ3" s="58" t="s">
        <v>129</v>
      </c>
      <c r="AR3" s="58" t="s">
        <v>131</v>
      </c>
      <c r="AS3" s="58" t="s">
        <v>250</v>
      </c>
      <c r="AT3" s="58" t="s">
        <v>135</v>
      </c>
      <c r="AU3" s="58" t="s">
        <v>137</v>
      </c>
      <c r="AV3" s="94" t="s">
        <v>139</v>
      </c>
      <c r="AW3" s="58" t="s">
        <v>141</v>
      </c>
      <c r="AX3" s="58" t="s">
        <v>143</v>
      </c>
      <c r="AY3" s="58" t="s">
        <v>145</v>
      </c>
      <c r="AZ3" s="58" t="s">
        <v>147</v>
      </c>
      <c r="BA3" s="58" t="s">
        <v>149</v>
      </c>
      <c r="BB3" s="58" t="s">
        <v>151</v>
      </c>
      <c r="BC3" s="58" t="s">
        <v>153</v>
      </c>
      <c r="BD3" s="58" t="s">
        <v>155</v>
      </c>
      <c r="BE3" s="58" t="s">
        <v>157</v>
      </c>
      <c r="BF3" s="58" t="s">
        <v>280</v>
      </c>
      <c r="BG3" s="58" t="s">
        <v>161</v>
      </c>
      <c r="BH3" s="58" t="s">
        <v>163</v>
      </c>
      <c r="BI3" s="58" t="s">
        <v>165</v>
      </c>
      <c r="BJ3" s="58" t="s">
        <v>167</v>
      </c>
      <c r="BK3" s="58" t="s">
        <v>169</v>
      </c>
      <c r="BL3" s="58" t="s">
        <v>171</v>
      </c>
      <c r="BM3" s="58" t="s">
        <v>270</v>
      </c>
      <c r="BN3" s="58" t="s">
        <v>271</v>
      </c>
    </row>
    <row r="4" spans="1:66" s="41" customFormat="1" x14ac:dyDescent="0.3">
      <c r="A4" s="116" t="s">
        <v>21</v>
      </c>
      <c r="B4" s="117"/>
      <c r="C4" s="117"/>
      <c r="D4" s="118"/>
      <c r="E4" s="76">
        <f>COUNTA(E9:E38)</f>
        <v>30</v>
      </c>
      <c r="F4" s="77">
        <f>COUNTA(F9:F38)</f>
        <v>30</v>
      </c>
      <c r="G4" s="77">
        <f>COUNTA(G9:G38)</f>
        <v>3</v>
      </c>
      <c r="H4" s="77">
        <f>COUNTA(H9:H38)</f>
        <v>30</v>
      </c>
      <c r="I4" s="78" t="b">
        <f>AND(J4:BN4)</f>
        <v>1</v>
      </c>
      <c r="J4" s="78" t="b">
        <f t="shared" ref="J4:Y4" si="0">COUNTA(J7:J38)&gt;0</f>
        <v>1</v>
      </c>
      <c r="K4" s="78" t="b">
        <f t="shared" si="0"/>
        <v>1</v>
      </c>
      <c r="L4" s="78" t="b">
        <f t="shared" si="0"/>
        <v>1</v>
      </c>
      <c r="M4" s="78" t="b">
        <f t="shared" si="0"/>
        <v>1</v>
      </c>
      <c r="N4" s="78" t="b">
        <f t="shared" si="0"/>
        <v>1</v>
      </c>
      <c r="O4" s="78" t="b">
        <f t="shared" si="0"/>
        <v>1</v>
      </c>
      <c r="P4" s="78" t="b">
        <f t="shared" si="0"/>
        <v>1</v>
      </c>
      <c r="Q4" s="78" t="b">
        <f t="shared" si="0"/>
        <v>1</v>
      </c>
      <c r="R4" s="78" t="b">
        <f t="shared" si="0"/>
        <v>1</v>
      </c>
      <c r="S4" s="78" t="b">
        <f t="shared" si="0"/>
        <v>1</v>
      </c>
      <c r="T4" s="78" t="b">
        <f t="shared" si="0"/>
        <v>1</v>
      </c>
      <c r="U4" s="78" t="b">
        <f t="shared" si="0"/>
        <v>1</v>
      </c>
      <c r="V4" s="78" t="b">
        <f t="shared" si="0"/>
        <v>1</v>
      </c>
      <c r="W4" s="78" t="b">
        <f t="shared" si="0"/>
        <v>1</v>
      </c>
      <c r="X4" s="78" t="b">
        <f t="shared" si="0"/>
        <v>1</v>
      </c>
      <c r="Y4" s="78" t="b">
        <f t="shared" si="0"/>
        <v>1</v>
      </c>
      <c r="Z4" s="78" t="b">
        <f>COUNTA(þ4:þ26)&gt;0</f>
        <v>1</v>
      </c>
      <c r="AA4" s="78" t="b">
        <f t="shared" ref="AA4:AY4" si="1">COUNTA(AA7:AA38)&gt;0</f>
        <v>1</v>
      </c>
      <c r="AB4" s="78" t="b">
        <f t="shared" si="1"/>
        <v>1</v>
      </c>
      <c r="AC4" s="78" t="b">
        <f t="shared" si="1"/>
        <v>1</v>
      </c>
      <c r="AD4" s="78" t="b">
        <f t="shared" si="1"/>
        <v>1</v>
      </c>
      <c r="AE4" s="78" t="b">
        <f t="shared" si="1"/>
        <v>1</v>
      </c>
      <c r="AF4" s="79" t="b">
        <f t="shared" si="1"/>
        <v>1</v>
      </c>
      <c r="AG4" s="79" t="b">
        <f t="shared" si="1"/>
        <v>1</v>
      </c>
      <c r="AH4" s="79" t="b">
        <f t="shared" si="1"/>
        <v>1</v>
      </c>
      <c r="AI4" s="79" t="b">
        <f t="shared" si="1"/>
        <v>1</v>
      </c>
      <c r="AJ4" s="79" t="b">
        <f t="shared" si="1"/>
        <v>1</v>
      </c>
      <c r="AK4" s="79" t="b">
        <f t="shared" si="1"/>
        <v>1</v>
      </c>
      <c r="AL4" s="79" t="b">
        <f t="shared" si="1"/>
        <v>1</v>
      </c>
      <c r="AM4" s="79" t="b">
        <f t="shared" si="1"/>
        <v>1</v>
      </c>
      <c r="AN4" s="79" t="b">
        <f t="shared" si="1"/>
        <v>1</v>
      </c>
      <c r="AO4" s="79" t="b">
        <f t="shared" si="1"/>
        <v>1</v>
      </c>
      <c r="AP4" s="79" t="b">
        <f t="shared" si="1"/>
        <v>1</v>
      </c>
      <c r="AQ4" s="79" t="b">
        <f t="shared" si="1"/>
        <v>1</v>
      </c>
      <c r="AR4" s="79" t="b">
        <f t="shared" si="1"/>
        <v>1</v>
      </c>
      <c r="AS4" s="79" t="b">
        <f t="shared" si="1"/>
        <v>1</v>
      </c>
      <c r="AT4" s="79" t="b">
        <f t="shared" si="1"/>
        <v>1</v>
      </c>
      <c r="AU4" s="79" t="b">
        <f t="shared" si="1"/>
        <v>1</v>
      </c>
      <c r="AV4" s="79" t="b">
        <f t="shared" si="1"/>
        <v>1</v>
      </c>
      <c r="AW4" s="79" t="b">
        <f t="shared" si="1"/>
        <v>1</v>
      </c>
      <c r="AX4" s="79" t="b">
        <f t="shared" si="1"/>
        <v>1</v>
      </c>
      <c r="AY4" s="79" t="b">
        <f t="shared" si="1"/>
        <v>1</v>
      </c>
      <c r="AZ4" s="79" t="b">
        <f>COUNTA(Aþ4:Aþ26)&gt;0</f>
        <v>1</v>
      </c>
      <c r="BA4" s="79" t="b">
        <f t="shared" ref="BA4:BN4" si="2">COUNTA(BA7:BA38)&gt;0</f>
        <v>1</v>
      </c>
      <c r="BB4" s="79" t="b">
        <f t="shared" si="2"/>
        <v>1</v>
      </c>
      <c r="BC4" s="79" t="b">
        <f t="shared" si="2"/>
        <v>1</v>
      </c>
      <c r="BD4" s="79" t="b">
        <f t="shared" si="2"/>
        <v>1</v>
      </c>
      <c r="BE4" s="79" t="b">
        <f t="shared" si="2"/>
        <v>1</v>
      </c>
      <c r="BF4" s="79" t="b">
        <f t="shared" si="2"/>
        <v>1</v>
      </c>
      <c r="BG4" s="79" t="b">
        <f t="shared" si="2"/>
        <v>1</v>
      </c>
      <c r="BH4" s="79" t="b">
        <f t="shared" si="2"/>
        <v>1</v>
      </c>
      <c r="BI4" s="79" t="b">
        <f t="shared" si="2"/>
        <v>1</v>
      </c>
      <c r="BJ4" s="79" t="b">
        <f t="shared" si="2"/>
        <v>1</v>
      </c>
      <c r="BK4" s="79" t="b">
        <f t="shared" si="2"/>
        <v>1</v>
      </c>
      <c r="BL4" s="79" t="b">
        <f t="shared" si="2"/>
        <v>1</v>
      </c>
      <c r="BM4" s="79" t="b">
        <f t="shared" si="2"/>
        <v>1</v>
      </c>
      <c r="BN4" s="79" t="b">
        <f t="shared" si="2"/>
        <v>1</v>
      </c>
    </row>
    <row r="5" spans="1:66" s="41" customFormat="1" x14ac:dyDescent="0.3">
      <c r="A5" s="119"/>
      <c r="B5" s="120"/>
      <c r="C5" s="120"/>
      <c r="D5" s="121"/>
      <c r="E5" s="80">
        <v>1</v>
      </c>
      <c r="F5" s="81">
        <v>0.33</v>
      </c>
      <c r="G5" s="81">
        <v>0.33</v>
      </c>
      <c r="H5" s="82">
        <v>0.66</v>
      </c>
      <c r="I5" s="88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</row>
    <row r="6" spans="1:66" x14ac:dyDescent="0.3">
      <c r="A6" s="52"/>
      <c r="B6" s="53"/>
      <c r="C6" s="53"/>
      <c r="D6" s="54"/>
      <c r="E6" s="55"/>
      <c r="F6" s="56"/>
      <c r="G6" s="56"/>
      <c r="H6" s="75"/>
      <c r="I6" s="89"/>
      <c r="J6" s="50">
        <f t="shared" ref="J6:AO6" si="3">COUNTA(J7:J38)</f>
        <v>1</v>
      </c>
      <c r="K6" s="50">
        <f t="shared" si="3"/>
        <v>1</v>
      </c>
      <c r="L6" s="50">
        <f t="shared" si="3"/>
        <v>2</v>
      </c>
      <c r="M6" s="50">
        <f t="shared" si="3"/>
        <v>2</v>
      </c>
      <c r="N6" s="50">
        <f t="shared" si="3"/>
        <v>1</v>
      </c>
      <c r="O6" s="50">
        <f t="shared" si="3"/>
        <v>2</v>
      </c>
      <c r="P6" s="50">
        <f t="shared" si="3"/>
        <v>3</v>
      </c>
      <c r="Q6" s="50">
        <f t="shared" si="3"/>
        <v>3</v>
      </c>
      <c r="R6" s="50">
        <f t="shared" si="3"/>
        <v>2</v>
      </c>
      <c r="S6" s="50">
        <f t="shared" si="3"/>
        <v>3</v>
      </c>
      <c r="T6" s="50">
        <f t="shared" si="3"/>
        <v>4</v>
      </c>
      <c r="U6" s="50">
        <f t="shared" si="3"/>
        <v>12</v>
      </c>
      <c r="V6" s="50">
        <f t="shared" si="3"/>
        <v>10</v>
      </c>
      <c r="W6" s="50">
        <f t="shared" si="3"/>
        <v>32</v>
      </c>
      <c r="X6" s="50">
        <f t="shared" si="3"/>
        <v>32</v>
      </c>
      <c r="Y6" s="50">
        <f t="shared" si="3"/>
        <v>5</v>
      </c>
      <c r="Z6" s="50">
        <f t="shared" si="3"/>
        <v>5</v>
      </c>
      <c r="AA6" s="50">
        <f t="shared" si="3"/>
        <v>29</v>
      </c>
      <c r="AB6" s="50">
        <f t="shared" si="3"/>
        <v>5</v>
      </c>
      <c r="AC6" s="50">
        <f t="shared" si="3"/>
        <v>2</v>
      </c>
      <c r="AD6" s="50">
        <f t="shared" si="3"/>
        <v>4</v>
      </c>
      <c r="AE6" s="50">
        <f t="shared" si="3"/>
        <v>9</v>
      </c>
      <c r="AF6" s="50">
        <f t="shared" si="3"/>
        <v>32</v>
      </c>
      <c r="AG6" s="50">
        <f t="shared" si="3"/>
        <v>2</v>
      </c>
      <c r="AH6" s="50">
        <f t="shared" si="3"/>
        <v>3</v>
      </c>
      <c r="AI6" s="50">
        <f t="shared" si="3"/>
        <v>1</v>
      </c>
      <c r="AJ6" s="50">
        <f t="shared" si="3"/>
        <v>1</v>
      </c>
      <c r="AK6" s="50">
        <f t="shared" si="3"/>
        <v>1</v>
      </c>
      <c r="AL6" s="50">
        <f t="shared" si="3"/>
        <v>2</v>
      </c>
      <c r="AM6" s="50">
        <f t="shared" si="3"/>
        <v>3</v>
      </c>
      <c r="AN6" s="50">
        <f t="shared" si="3"/>
        <v>1</v>
      </c>
      <c r="AO6" s="50">
        <f t="shared" si="3"/>
        <v>1</v>
      </c>
      <c r="AP6" s="50">
        <f t="shared" ref="AP6:BN6" si="4">COUNTA(AP7:AP38)</f>
        <v>1</v>
      </c>
      <c r="AQ6" s="50">
        <f t="shared" si="4"/>
        <v>2</v>
      </c>
      <c r="AR6" s="50">
        <f t="shared" si="4"/>
        <v>1</v>
      </c>
      <c r="AS6" s="50">
        <f t="shared" si="4"/>
        <v>2</v>
      </c>
      <c r="AT6" s="50">
        <f t="shared" si="4"/>
        <v>2</v>
      </c>
      <c r="AU6" s="50">
        <f t="shared" si="4"/>
        <v>2</v>
      </c>
      <c r="AV6" s="50">
        <f t="shared" si="4"/>
        <v>32</v>
      </c>
      <c r="AW6" s="50">
        <f t="shared" si="4"/>
        <v>1</v>
      </c>
      <c r="AX6" s="50">
        <f t="shared" si="4"/>
        <v>1</v>
      </c>
      <c r="AY6" s="50">
        <f t="shared" si="4"/>
        <v>6</v>
      </c>
      <c r="AZ6" s="50">
        <f t="shared" si="4"/>
        <v>1</v>
      </c>
      <c r="BA6" s="50">
        <f t="shared" si="4"/>
        <v>1</v>
      </c>
      <c r="BB6" s="50">
        <f t="shared" si="4"/>
        <v>2</v>
      </c>
      <c r="BC6" s="50">
        <f t="shared" si="4"/>
        <v>2</v>
      </c>
      <c r="BD6" s="50">
        <f t="shared" si="4"/>
        <v>7</v>
      </c>
      <c r="BE6" s="50">
        <f t="shared" si="4"/>
        <v>2</v>
      </c>
      <c r="BF6" s="50">
        <f t="shared" si="4"/>
        <v>5</v>
      </c>
      <c r="BG6" s="50">
        <f t="shared" si="4"/>
        <v>5</v>
      </c>
      <c r="BH6" s="50">
        <f t="shared" si="4"/>
        <v>3</v>
      </c>
      <c r="BI6" s="50">
        <f t="shared" si="4"/>
        <v>2</v>
      </c>
      <c r="BJ6" s="50">
        <f t="shared" si="4"/>
        <v>4</v>
      </c>
      <c r="BK6" s="50">
        <f t="shared" si="4"/>
        <v>4</v>
      </c>
      <c r="BL6" s="50">
        <f t="shared" si="4"/>
        <v>4</v>
      </c>
      <c r="BM6" s="50">
        <f t="shared" si="4"/>
        <v>8</v>
      </c>
      <c r="BN6" s="50">
        <f t="shared" si="4"/>
        <v>9</v>
      </c>
    </row>
    <row r="7" spans="1:66" s="49" customFormat="1" ht="28.8" x14ac:dyDescent="0.3">
      <c r="A7" s="59" t="s">
        <v>5</v>
      </c>
      <c r="B7" s="59" t="s">
        <v>220</v>
      </c>
      <c r="C7" s="60" t="s">
        <v>238</v>
      </c>
      <c r="D7" s="61" t="s">
        <v>243</v>
      </c>
      <c r="E7" s="62" t="s">
        <v>240</v>
      </c>
      <c r="F7" s="63" t="s">
        <v>278</v>
      </c>
      <c r="G7" s="63" t="s">
        <v>278</v>
      </c>
      <c r="H7" s="64" t="s">
        <v>240</v>
      </c>
      <c r="I7" s="90">
        <f>COUNTA(J7:BN7)</f>
        <v>26</v>
      </c>
      <c r="J7" s="65" t="s">
        <v>219</v>
      </c>
      <c r="K7" s="65" t="s">
        <v>219</v>
      </c>
      <c r="L7" s="65" t="s">
        <v>219</v>
      </c>
      <c r="M7" s="65"/>
      <c r="N7" s="65" t="s">
        <v>219</v>
      </c>
      <c r="O7" s="65" t="s">
        <v>219</v>
      </c>
      <c r="P7" s="65" t="s">
        <v>219</v>
      </c>
      <c r="Q7" s="65"/>
      <c r="R7" s="65" t="s">
        <v>219</v>
      </c>
      <c r="S7" s="65" t="s">
        <v>219</v>
      </c>
      <c r="T7" s="65" t="s">
        <v>219</v>
      </c>
      <c r="U7" s="65" t="s">
        <v>219</v>
      </c>
      <c r="V7" s="65" t="s">
        <v>219</v>
      </c>
      <c r="W7" s="65" t="s">
        <v>219</v>
      </c>
      <c r="X7" s="65" t="s">
        <v>219</v>
      </c>
      <c r="Y7" s="65"/>
      <c r="Z7" s="65"/>
      <c r="AA7" s="65" t="s">
        <v>219</v>
      </c>
      <c r="AB7" s="65" t="s">
        <v>219</v>
      </c>
      <c r="AC7" s="65" t="s">
        <v>219</v>
      </c>
      <c r="AD7" s="65" t="s">
        <v>219</v>
      </c>
      <c r="AE7" s="65" t="s">
        <v>219</v>
      </c>
      <c r="AF7" s="66" t="s">
        <v>219</v>
      </c>
      <c r="AG7" s="66" t="s">
        <v>219</v>
      </c>
      <c r="AH7" s="66" t="s">
        <v>219</v>
      </c>
      <c r="AI7" s="66"/>
      <c r="AJ7" s="66"/>
      <c r="AK7" s="66"/>
      <c r="AL7" s="66" t="s">
        <v>219</v>
      </c>
      <c r="AM7" s="66"/>
      <c r="AN7" s="66"/>
      <c r="AO7" s="66"/>
      <c r="AP7" s="66"/>
      <c r="AQ7" s="66"/>
      <c r="AR7" s="66"/>
      <c r="AS7" s="66"/>
      <c r="AT7" s="66"/>
      <c r="AU7" s="66"/>
      <c r="AV7" s="66" t="s">
        <v>219</v>
      </c>
      <c r="AW7" s="66"/>
      <c r="AX7" s="66"/>
      <c r="AY7" s="66"/>
      <c r="AZ7" s="66"/>
      <c r="BA7" s="66"/>
      <c r="BB7" s="66"/>
      <c r="BC7" s="66"/>
      <c r="BD7" s="66" t="s">
        <v>219</v>
      </c>
      <c r="BE7" s="66"/>
      <c r="BF7" s="66"/>
      <c r="BG7" s="66"/>
      <c r="BH7" s="66"/>
      <c r="BI7" s="66"/>
      <c r="BJ7" s="66"/>
      <c r="BK7" s="66"/>
      <c r="BL7" s="66"/>
      <c r="BM7" s="66" t="s">
        <v>219</v>
      </c>
      <c r="BN7" s="66" t="s">
        <v>219</v>
      </c>
    </row>
    <row r="8" spans="1:66" s="49" customFormat="1" x14ac:dyDescent="0.3">
      <c r="A8" s="59" t="s">
        <v>207</v>
      </c>
      <c r="B8" s="59" t="s">
        <v>206</v>
      </c>
      <c r="C8" s="59" t="s">
        <v>236</v>
      </c>
      <c r="D8" s="61" t="s">
        <v>243</v>
      </c>
      <c r="E8" s="62" t="s">
        <v>240</v>
      </c>
      <c r="F8" s="63" t="s">
        <v>278</v>
      </c>
      <c r="G8" s="63" t="s">
        <v>278</v>
      </c>
      <c r="H8" s="64" t="s">
        <v>240</v>
      </c>
      <c r="I8" s="90">
        <f t="shared" ref="I8:I38" si="5">COUNTA(J8:BN8)</f>
        <v>22</v>
      </c>
      <c r="J8" s="65"/>
      <c r="K8" s="65"/>
      <c r="L8" s="65" t="s">
        <v>219</v>
      </c>
      <c r="M8" s="65" t="s">
        <v>219</v>
      </c>
      <c r="N8" s="65"/>
      <c r="O8" s="65" t="s">
        <v>219</v>
      </c>
      <c r="P8" s="65" t="s">
        <v>219</v>
      </c>
      <c r="Q8" s="65" t="s">
        <v>219</v>
      </c>
      <c r="R8" s="65" t="s">
        <v>219</v>
      </c>
      <c r="S8" s="65"/>
      <c r="T8" s="65"/>
      <c r="U8" s="65" t="s">
        <v>219</v>
      </c>
      <c r="V8" s="65" t="s">
        <v>219</v>
      </c>
      <c r="W8" s="65" t="s">
        <v>219</v>
      </c>
      <c r="X8" s="65" t="s">
        <v>219</v>
      </c>
      <c r="Y8" s="65" t="s">
        <v>219</v>
      </c>
      <c r="Z8" s="65" t="s">
        <v>219</v>
      </c>
      <c r="AA8" s="65" t="s">
        <v>219</v>
      </c>
      <c r="AB8" s="65" t="s">
        <v>219</v>
      </c>
      <c r="AC8" s="65" t="s">
        <v>219</v>
      </c>
      <c r="AD8" s="65" t="s">
        <v>219</v>
      </c>
      <c r="AE8" s="65" t="s">
        <v>219</v>
      </c>
      <c r="AF8" s="66" t="s">
        <v>219</v>
      </c>
      <c r="AG8" s="66"/>
      <c r="AH8" s="66"/>
      <c r="AI8" s="66"/>
      <c r="AJ8" s="66"/>
      <c r="AK8" s="66"/>
      <c r="AL8" s="66"/>
      <c r="AM8" s="66" t="s">
        <v>219</v>
      </c>
      <c r="AN8" s="66"/>
      <c r="AO8" s="66"/>
      <c r="AP8" s="66"/>
      <c r="AQ8" s="66"/>
      <c r="AR8" s="66"/>
      <c r="AS8" s="66"/>
      <c r="AT8" s="66"/>
      <c r="AU8" s="66"/>
      <c r="AV8" s="66" t="s">
        <v>219</v>
      </c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 t="s">
        <v>219</v>
      </c>
      <c r="BI8" s="66"/>
      <c r="BJ8" s="66"/>
      <c r="BK8" s="66"/>
      <c r="BL8" s="66"/>
      <c r="BM8" s="66"/>
      <c r="BN8" s="66" t="s">
        <v>219</v>
      </c>
    </row>
    <row r="9" spans="1:66" s="49" customFormat="1" x14ac:dyDescent="0.3">
      <c r="A9" s="59" t="s">
        <v>202</v>
      </c>
      <c r="B9" s="59" t="s">
        <v>208</v>
      </c>
      <c r="C9" s="59" t="s">
        <v>235</v>
      </c>
      <c r="D9" s="61" t="s">
        <v>243</v>
      </c>
      <c r="E9" s="62" t="s">
        <v>240</v>
      </c>
      <c r="F9" s="63" t="s">
        <v>278</v>
      </c>
      <c r="G9" s="63" t="s">
        <v>278</v>
      </c>
      <c r="H9" s="64" t="s">
        <v>240</v>
      </c>
      <c r="I9" s="90">
        <f t="shared" si="5"/>
        <v>15</v>
      </c>
      <c r="J9" s="65"/>
      <c r="K9" s="65"/>
      <c r="L9" s="65"/>
      <c r="M9" s="65" t="s">
        <v>219</v>
      </c>
      <c r="N9" s="65"/>
      <c r="O9" s="65"/>
      <c r="P9" s="65"/>
      <c r="Q9" s="65" t="s">
        <v>219</v>
      </c>
      <c r="R9" s="65"/>
      <c r="S9" s="65"/>
      <c r="T9" s="65"/>
      <c r="U9" s="65" t="s">
        <v>219</v>
      </c>
      <c r="V9" s="65" t="s">
        <v>219</v>
      </c>
      <c r="W9" s="65" t="s">
        <v>219</v>
      </c>
      <c r="X9" s="65" t="s">
        <v>219</v>
      </c>
      <c r="Y9" s="65" t="s">
        <v>219</v>
      </c>
      <c r="Z9" s="65" t="s">
        <v>219</v>
      </c>
      <c r="AA9" s="65" t="s">
        <v>219</v>
      </c>
      <c r="AB9" s="65" t="s">
        <v>219</v>
      </c>
      <c r="AC9" s="65"/>
      <c r="AD9" s="65" t="s">
        <v>219</v>
      </c>
      <c r="AE9" s="65" t="s">
        <v>219</v>
      </c>
      <c r="AF9" s="66" t="s">
        <v>219</v>
      </c>
      <c r="AG9" s="66"/>
      <c r="AH9" s="66"/>
      <c r="AI9" s="66"/>
      <c r="AJ9" s="66"/>
      <c r="AK9" s="66"/>
      <c r="AL9" s="66"/>
      <c r="AM9" s="66" t="s">
        <v>219</v>
      </c>
      <c r="AN9" s="66"/>
      <c r="AO9" s="66"/>
      <c r="AP9" s="66"/>
      <c r="AQ9" s="66"/>
      <c r="AR9" s="66"/>
      <c r="AS9" s="66"/>
      <c r="AT9" s="66"/>
      <c r="AU9" s="66"/>
      <c r="AV9" s="66" t="s">
        <v>219</v>
      </c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</row>
    <row r="10" spans="1:66" s="49" customFormat="1" ht="28.8" x14ac:dyDescent="0.3">
      <c r="A10" s="59" t="s">
        <v>77</v>
      </c>
      <c r="B10" s="60" t="s">
        <v>258</v>
      </c>
      <c r="C10" s="60" t="s">
        <v>232</v>
      </c>
      <c r="D10" s="61" t="s">
        <v>243</v>
      </c>
      <c r="E10" s="62" t="s">
        <v>240</v>
      </c>
      <c r="F10" s="63" t="s">
        <v>278</v>
      </c>
      <c r="G10" s="63" t="s">
        <v>278</v>
      </c>
      <c r="H10" s="64" t="s">
        <v>240</v>
      </c>
      <c r="I10" s="90">
        <f t="shared" si="5"/>
        <v>12</v>
      </c>
      <c r="J10" s="65"/>
      <c r="K10" s="65"/>
      <c r="L10" s="65"/>
      <c r="M10" s="65"/>
      <c r="N10" s="65"/>
      <c r="O10" s="65"/>
      <c r="P10" s="65"/>
      <c r="Q10" s="65" t="s">
        <v>219</v>
      </c>
      <c r="R10" s="65"/>
      <c r="S10" s="65"/>
      <c r="T10" s="65"/>
      <c r="U10" s="65"/>
      <c r="V10" s="65" t="s">
        <v>219</v>
      </c>
      <c r="W10" s="65" t="s">
        <v>219</v>
      </c>
      <c r="X10" s="65" t="s">
        <v>219</v>
      </c>
      <c r="Y10" s="65" t="s">
        <v>219</v>
      </c>
      <c r="Z10" s="65" t="s">
        <v>219</v>
      </c>
      <c r="AA10" s="65" t="s">
        <v>219</v>
      </c>
      <c r="AB10" s="65"/>
      <c r="AC10" s="65"/>
      <c r="AD10" s="65" t="s">
        <v>219</v>
      </c>
      <c r="AE10" s="65" t="s">
        <v>219</v>
      </c>
      <c r="AF10" s="66" t="s">
        <v>219</v>
      </c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 t="s">
        <v>219</v>
      </c>
      <c r="AW10" s="66"/>
      <c r="AX10" s="66"/>
      <c r="AY10" s="66" t="s">
        <v>219</v>
      </c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</row>
    <row r="11" spans="1:66" s="49" customFormat="1" x14ac:dyDescent="0.3">
      <c r="A11" s="59" t="s">
        <v>217</v>
      </c>
      <c r="B11" s="59" t="s">
        <v>259</v>
      </c>
      <c r="C11" s="59" t="s">
        <v>237</v>
      </c>
      <c r="D11" s="61" t="s">
        <v>243</v>
      </c>
      <c r="E11" s="62" t="s">
        <v>240</v>
      </c>
      <c r="F11" s="63" t="s">
        <v>240</v>
      </c>
      <c r="G11" s="63" t="s">
        <v>240</v>
      </c>
      <c r="H11" s="64" t="s">
        <v>240</v>
      </c>
      <c r="I11" s="90">
        <f t="shared" si="5"/>
        <v>6</v>
      </c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 t="s">
        <v>219</v>
      </c>
      <c r="X11" s="65" t="s">
        <v>219</v>
      </c>
      <c r="Y11" s="65"/>
      <c r="Z11" s="65"/>
      <c r="AA11" s="65" t="s">
        <v>219</v>
      </c>
      <c r="AB11" s="65" t="s">
        <v>219</v>
      </c>
      <c r="AC11" s="65"/>
      <c r="AD11" s="65"/>
      <c r="AE11" s="65"/>
      <c r="AF11" s="66" t="s">
        <v>219</v>
      </c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 t="s">
        <v>219</v>
      </c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</row>
    <row r="12" spans="1:66" s="49" customFormat="1" x14ac:dyDescent="0.3">
      <c r="A12" s="59" t="s">
        <v>203</v>
      </c>
      <c r="B12" s="59" t="s">
        <v>261</v>
      </c>
      <c r="C12" s="59" t="s">
        <v>218</v>
      </c>
      <c r="D12" s="68" t="s">
        <v>246</v>
      </c>
      <c r="E12" s="62" t="s">
        <v>240</v>
      </c>
      <c r="F12" s="111" t="s">
        <v>242</v>
      </c>
      <c r="G12" s="112"/>
      <c r="H12" s="64" t="s">
        <v>240</v>
      </c>
      <c r="I12" s="90">
        <f>COUNTA(J12:BN12)</f>
        <v>18</v>
      </c>
      <c r="J12" s="65"/>
      <c r="K12" s="65"/>
      <c r="L12" s="65"/>
      <c r="M12" s="65"/>
      <c r="N12" s="65"/>
      <c r="O12" s="65"/>
      <c r="P12" s="65" t="s">
        <v>219</v>
      </c>
      <c r="Q12" s="65"/>
      <c r="R12" s="65"/>
      <c r="S12" s="65" t="s">
        <v>219</v>
      </c>
      <c r="T12" s="65" t="s">
        <v>219</v>
      </c>
      <c r="U12" s="65" t="s">
        <v>219</v>
      </c>
      <c r="V12" s="65" t="s">
        <v>219</v>
      </c>
      <c r="W12" s="65" t="s">
        <v>219</v>
      </c>
      <c r="X12" s="65" t="s">
        <v>219</v>
      </c>
      <c r="Y12" s="65"/>
      <c r="Z12" s="65"/>
      <c r="AA12" s="65" t="s">
        <v>219</v>
      </c>
      <c r="AB12" s="65"/>
      <c r="AC12" s="65"/>
      <c r="AD12" s="65"/>
      <c r="AE12" s="65"/>
      <c r="AF12" s="66" t="s">
        <v>219</v>
      </c>
      <c r="AG12" s="66" t="s">
        <v>219</v>
      </c>
      <c r="AH12" s="66" t="s">
        <v>219</v>
      </c>
      <c r="AI12" s="66" t="s">
        <v>219</v>
      </c>
      <c r="AJ12" s="66" t="s">
        <v>219</v>
      </c>
      <c r="AK12" s="66" t="s">
        <v>219</v>
      </c>
      <c r="AL12" s="66"/>
      <c r="AM12" s="66"/>
      <c r="AN12" s="66"/>
      <c r="AO12" s="66"/>
      <c r="AP12" s="66"/>
      <c r="AQ12" s="66" t="s">
        <v>219</v>
      </c>
      <c r="AR12" s="66"/>
      <c r="AS12" s="66"/>
      <c r="AT12" s="66"/>
      <c r="AU12" s="66"/>
      <c r="AV12" s="66" t="s">
        <v>219</v>
      </c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 t="s">
        <v>219</v>
      </c>
      <c r="BL12" s="66"/>
      <c r="BM12" s="66" t="s">
        <v>219</v>
      </c>
      <c r="BN12" s="66"/>
    </row>
    <row r="13" spans="1:66" s="49" customFormat="1" x14ac:dyDescent="0.3">
      <c r="A13" s="59" t="s">
        <v>211</v>
      </c>
      <c r="B13" s="59" t="s">
        <v>247</v>
      </c>
      <c r="C13" s="59" t="s">
        <v>212</v>
      </c>
      <c r="D13" s="68" t="s">
        <v>246</v>
      </c>
      <c r="E13" s="62" t="s">
        <v>240</v>
      </c>
      <c r="F13" s="111" t="s">
        <v>242</v>
      </c>
      <c r="G13" s="112"/>
      <c r="H13" s="64" t="s">
        <v>240</v>
      </c>
      <c r="I13" s="90">
        <f>COUNTA(J13:BN13)</f>
        <v>6</v>
      </c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 t="s">
        <v>219</v>
      </c>
      <c r="X13" s="65" t="s">
        <v>219</v>
      </c>
      <c r="Y13" s="65"/>
      <c r="Z13" s="65"/>
      <c r="AA13" s="65" t="s">
        <v>219</v>
      </c>
      <c r="AB13" s="65"/>
      <c r="AC13" s="65"/>
      <c r="AD13" s="65"/>
      <c r="AE13" s="65"/>
      <c r="AF13" s="66" t="s">
        <v>219</v>
      </c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 t="s">
        <v>219</v>
      </c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 t="s">
        <v>219</v>
      </c>
      <c r="BN13" s="66"/>
    </row>
    <row r="14" spans="1:66" s="49" customFormat="1" x14ac:dyDescent="0.3">
      <c r="A14" s="59" t="s">
        <v>231</v>
      </c>
      <c r="B14" s="67" t="s">
        <v>260</v>
      </c>
      <c r="C14" s="59" t="s">
        <v>214</v>
      </c>
      <c r="D14" s="68" t="s">
        <v>246</v>
      </c>
      <c r="E14" s="62" t="s">
        <v>240</v>
      </c>
      <c r="F14" s="111" t="s">
        <v>242</v>
      </c>
      <c r="G14" s="112"/>
      <c r="H14" s="64" t="s">
        <v>240</v>
      </c>
      <c r="I14" s="90">
        <f t="shared" si="5"/>
        <v>9</v>
      </c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 t="s">
        <v>219</v>
      </c>
      <c r="V14" s="65"/>
      <c r="W14" s="65" t="s">
        <v>219</v>
      </c>
      <c r="X14" s="65" t="s">
        <v>219</v>
      </c>
      <c r="Y14" s="65"/>
      <c r="Z14" s="65"/>
      <c r="AA14" s="65" t="s">
        <v>219</v>
      </c>
      <c r="AB14" s="65"/>
      <c r="AC14" s="65"/>
      <c r="AD14" s="65"/>
      <c r="AE14" s="65"/>
      <c r="AF14" s="66" t="s">
        <v>219</v>
      </c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 t="s">
        <v>219</v>
      </c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 t="s">
        <v>219</v>
      </c>
      <c r="BH14" s="66"/>
      <c r="BI14" s="66"/>
      <c r="BJ14" s="66"/>
      <c r="BK14" s="66" t="s">
        <v>219</v>
      </c>
      <c r="BL14" s="66" t="s">
        <v>219</v>
      </c>
      <c r="BM14" s="66"/>
      <c r="BN14" s="66"/>
    </row>
    <row r="15" spans="1:66" s="49" customFormat="1" x14ac:dyDescent="0.3">
      <c r="A15" s="59" t="s">
        <v>223</v>
      </c>
      <c r="B15" s="67" t="s">
        <v>260</v>
      </c>
      <c r="C15" s="59" t="s">
        <v>230</v>
      </c>
      <c r="D15" s="68" t="s">
        <v>246</v>
      </c>
      <c r="E15" s="62" t="s">
        <v>240</v>
      </c>
      <c r="F15" s="111" t="s">
        <v>242</v>
      </c>
      <c r="G15" s="112"/>
      <c r="H15" s="64" t="s">
        <v>240</v>
      </c>
      <c r="I15" s="90">
        <f>COUNTA(J15:BN15)</f>
        <v>7</v>
      </c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 t="s">
        <v>219</v>
      </c>
      <c r="V15" s="65"/>
      <c r="W15" s="65" t="s">
        <v>219</v>
      </c>
      <c r="X15" s="65" t="s">
        <v>219</v>
      </c>
      <c r="Y15" s="65"/>
      <c r="Z15" s="65"/>
      <c r="AA15" s="65" t="s">
        <v>219</v>
      </c>
      <c r="AB15" s="65"/>
      <c r="AC15" s="65"/>
      <c r="AD15" s="65"/>
      <c r="AE15" s="65"/>
      <c r="AF15" s="66" t="s">
        <v>219</v>
      </c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 t="s">
        <v>219</v>
      </c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 t="s">
        <v>219</v>
      </c>
      <c r="BN15" s="66"/>
    </row>
    <row r="16" spans="1:66" s="49" customFormat="1" x14ac:dyDescent="0.3">
      <c r="A16" s="59" t="s">
        <v>20</v>
      </c>
      <c r="B16" s="59" t="s">
        <v>254</v>
      </c>
      <c r="C16" s="59" t="s">
        <v>53</v>
      </c>
      <c r="D16" s="69" t="s">
        <v>244</v>
      </c>
      <c r="E16" s="62" t="s">
        <v>240</v>
      </c>
      <c r="F16" s="111" t="s">
        <v>242</v>
      </c>
      <c r="G16" s="112"/>
      <c r="H16" s="64" t="s">
        <v>240</v>
      </c>
      <c r="I16" s="90">
        <f t="shared" si="5"/>
        <v>14</v>
      </c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 t="s">
        <v>219</v>
      </c>
      <c r="V16" s="65"/>
      <c r="W16" s="65" t="s">
        <v>219</v>
      </c>
      <c r="X16" s="65" t="s">
        <v>219</v>
      </c>
      <c r="Y16" s="65"/>
      <c r="Z16" s="65"/>
      <c r="AA16" s="65" t="s">
        <v>219</v>
      </c>
      <c r="AB16" s="65"/>
      <c r="AC16" s="65"/>
      <c r="AD16" s="65"/>
      <c r="AE16" s="65"/>
      <c r="AF16" s="66" t="s">
        <v>219</v>
      </c>
      <c r="AG16" s="66"/>
      <c r="AH16" s="66"/>
      <c r="AI16" s="66"/>
      <c r="AJ16" s="66"/>
      <c r="AK16" s="66"/>
      <c r="AL16" s="66"/>
      <c r="AM16" s="66"/>
      <c r="AN16" s="66"/>
      <c r="AO16" s="66"/>
      <c r="AP16" s="66" t="s">
        <v>219</v>
      </c>
      <c r="AQ16" s="66"/>
      <c r="AR16" s="66"/>
      <c r="AS16" s="66"/>
      <c r="AT16" s="66" t="s">
        <v>219</v>
      </c>
      <c r="AU16" s="66" t="s">
        <v>219</v>
      </c>
      <c r="AV16" s="66" t="s">
        <v>219</v>
      </c>
      <c r="AW16" s="66"/>
      <c r="AX16" s="66"/>
      <c r="AY16" s="66" t="s">
        <v>219</v>
      </c>
      <c r="AZ16" s="66"/>
      <c r="BA16" s="66"/>
      <c r="BB16" s="66" t="s">
        <v>219</v>
      </c>
      <c r="BC16" s="66"/>
      <c r="BD16" s="66"/>
      <c r="BE16" s="66"/>
      <c r="BF16" s="66"/>
      <c r="BG16" s="66"/>
      <c r="BH16" s="66" t="s">
        <v>219</v>
      </c>
      <c r="BI16" s="66"/>
      <c r="BJ16" s="66"/>
      <c r="BK16" s="66"/>
      <c r="BL16" s="66" t="s">
        <v>219</v>
      </c>
      <c r="BM16" s="66"/>
      <c r="BN16" s="66" t="s">
        <v>219</v>
      </c>
    </row>
    <row r="17" spans="1:66" s="49" customFormat="1" x14ac:dyDescent="0.3">
      <c r="A17" s="59" t="s">
        <v>226</v>
      </c>
      <c r="B17" s="59" t="s">
        <v>215</v>
      </c>
      <c r="C17" s="59" t="s">
        <v>227</v>
      </c>
      <c r="D17" s="69" t="s">
        <v>244</v>
      </c>
      <c r="E17" s="62" t="s">
        <v>240</v>
      </c>
      <c r="F17" s="111" t="s">
        <v>242</v>
      </c>
      <c r="G17" s="112"/>
      <c r="H17" s="64" t="s">
        <v>240</v>
      </c>
      <c r="I17" s="90">
        <f>COUNTA(J17:BN17)</f>
        <v>6</v>
      </c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 t="s">
        <v>219</v>
      </c>
      <c r="X17" s="65" t="s">
        <v>219</v>
      </c>
      <c r="Y17" s="65"/>
      <c r="Z17" s="65"/>
      <c r="AA17" s="65" t="s">
        <v>219</v>
      </c>
      <c r="AB17" s="65"/>
      <c r="AC17" s="65"/>
      <c r="AD17" s="65"/>
      <c r="AE17" s="65"/>
      <c r="AF17" s="66" t="s">
        <v>219</v>
      </c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 t="s">
        <v>219</v>
      </c>
      <c r="AW17" s="66"/>
      <c r="AX17" s="66"/>
      <c r="AY17" s="66" t="s">
        <v>219</v>
      </c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</row>
    <row r="18" spans="1:66" s="49" customFormat="1" x14ac:dyDescent="0.3">
      <c r="A18" s="59" t="s">
        <v>228</v>
      </c>
      <c r="B18" s="59" t="s">
        <v>215</v>
      </c>
      <c r="C18" s="59" t="s">
        <v>229</v>
      </c>
      <c r="D18" s="69" t="s">
        <v>244</v>
      </c>
      <c r="E18" s="62" t="s">
        <v>240</v>
      </c>
      <c r="F18" s="111" t="s">
        <v>242</v>
      </c>
      <c r="G18" s="112"/>
      <c r="H18" s="64" t="s">
        <v>240</v>
      </c>
      <c r="I18" s="90">
        <f>COUNTA(J18:BN18)</f>
        <v>7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 t="s">
        <v>219</v>
      </c>
      <c r="X18" s="65" t="s">
        <v>219</v>
      </c>
      <c r="Y18" s="65"/>
      <c r="Z18" s="65"/>
      <c r="AA18" s="65" t="s">
        <v>219</v>
      </c>
      <c r="AB18" s="65"/>
      <c r="AC18" s="65"/>
      <c r="AD18" s="65"/>
      <c r="AE18" s="65"/>
      <c r="AF18" s="66" t="s">
        <v>219</v>
      </c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 t="s">
        <v>219</v>
      </c>
      <c r="AW18" s="66"/>
      <c r="AX18" s="66"/>
      <c r="AY18" s="66" t="s">
        <v>219</v>
      </c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 t="s">
        <v>219</v>
      </c>
    </row>
    <row r="19" spans="1:66" s="49" customFormat="1" x14ac:dyDescent="0.3">
      <c r="A19" s="59" t="s">
        <v>44</v>
      </c>
      <c r="B19" s="59" t="s">
        <v>44</v>
      </c>
      <c r="C19" s="60" t="s">
        <v>221</v>
      </c>
      <c r="D19" s="69" t="s">
        <v>244</v>
      </c>
      <c r="E19" s="62" t="s">
        <v>240</v>
      </c>
      <c r="F19" s="111" t="s">
        <v>242</v>
      </c>
      <c r="G19" s="112"/>
      <c r="H19" s="64" t="s">
        <v>240</v>
      </c>
      <c r="I19" s="90">
        <f t="shared" ref="I19" si="6">COUNTA(J19:BN19)</f>
        <v>37</v>
      </c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 t="s">
        <v>219</v>
      </c>
      <c r="V19" s="65" t="s">
        <v>219</v>
      </c>
      <c r="W19" s="65" t="s">
        <v>219</v>
      </c>
      <c r="X19" s="65" t="s">
        <v>219</v>
      </c>
      <c r="Y19" s="65" t="s">
        <v>219</v>
      </c>
      <c r="Z19" s="65" t="s">
        <v>219</v>
      </c>
      <c r="AA19" s="65" t="s">
        <v>219</v>
      </c>
      <c r="AB19" s="93" t="s">
        <v>269</v>
      </c>
      <c r="AC19" s="65"/>
      <c r="AD19" s="65"/>
      <c r="AE19" s="65"/>
      <c r="AF19" s="66" t="s">
        <v>219</v>
      </c>
      <c r="AG19" s="66"/>
      <c r="AH19" s="66" t="s">
        <v>219</v>
      </c>
      <c r="AI19" s="66"/>
      <c r="AJ19" s="66"/>
      <c r="AK19" s="66"/>
      <c r="AL19" s="66" t="s">
        <v>219</v>
      </c>
      <c r="AM19" s="66" t="s">
        <v>219</v>
      </c>
      <c r="AN19" s="66" t="s">
        <v>219</v>
      </c>
      <c r="AO19" s="66" t="s">
        <v>219</v>
      </c>
      <c r="AP19" s="66"/>
      <c r="AQ19" s="66" t="s">
        <v>219</v>
      </c>
      <c r="AR19" s="66" t="s">
        <v>219</v>
      </c>
      <c r="AS19" s="66" t="s">
        <v>219</v>
      </c>
      <c r="AT19" s="66" t="s">
        <v>219</v>
      </c>
      <c r="AU19" s="66" t="s">
        <v>219</v>
      </c>
      <c r="AV19" s="66" t="s">
        <v>219</v>
      </c>
      <c r="AW19" s="66" t="s">
        <v>219</v>
      </c>
      <c r="AX19" s="66" t="s">
        <v>219</v>
      </c>
      <c r="AY19" s="66" t="s">
        <v>219</v>
      </c>
      <c r="AZ19" s="66" t="s">
        <v>219</v>
      </c>
      <c r="BA19" s="66" t="s">
        <v>219</v>
      </c>
      <c r="BB19" s="66" t="s">
        <v>219</v>
      </c>
      <c r="BC19" s="66" t="s">
        <v>219</v>
      </c>
      <c r="BD19" s="66" t="s">
        <v>219</v>
      </c>
      <c r="BE19" s="66" t="s">
        <v>219</v>
      </c>
      <c r="BF19" s="66" t="s">
        <v>219</v>
      </c>
      <c r="BG19" s="66" t="s">
        <v>219</v>
      </c>
      <c r="BH19" s="66" t="s">
        <v>219</v>
      </c>
      <c r="BI19" s="66" t="s">
        <v>219</v>
      </c>
      <c r="BJ19" s="66" t="s">
        <v>219</v>
      </c>
      <c r="BK19" s="66" t="s">
        <v>219</v>
      </c>
      <c r="BL19" s="66" t="s">
        <v>219</v>
      </c>
      <c r="BM19" s="66"/>
      <c r="BN19" s="66" t="s">
        <v>219</v>
      </c>
    </row>
    <row r="20" spans="1:66" s="49" customFormat="1" x14ac:dyDescent="0.3">
      <c r="A20" s="59" t="s">
        <v>273</v>
      </c>
      <c r="B20" s="59" t="s">
        <v>274</v>
      </c>
      <c r="C20" s="59" t="s">
        <v>216</v>
      </c>
      <c r="D20" s="69" t="s">
        <v>244</v>
      </c>
      <c r="E20" s="62" t="s">
        <v>240</v>
      </c>
      <c r="F20" s="111" t="s">
        <v>242</v>
      </c>
      <c r="G20" s="112"/>
      <c r="H20" s="64" t="s">
        <v>240</v>
      </c>
      <c r="I20" s="90">
        <f t="shared" si="5"/>
        <v>7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 t="s">
        <v>219</v>
      </c>
      <c r="X20" s="65" t="s">
        <v>219</v>
      </c>
      <c r="Y20" s="65"/>
      <c r="Z20" s="65"/>
      <c r="AA20" s="65" t="s">
        <v>219</v>
      </c>
      <c r="AB20" s="65"/>
      <c r="AC20" s="65"/>
      <c r="AD20" s="65"/>
      <c r="AE20" s="65" t="s">
        <v>219</v>
      </c>
      <c r="AF20" s="66" t="s">
        <v>219</v>
      </c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 t="s">
        <v>219</v>
      </c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 t="s">
        <v>219</v>
      </c>
      <c r="BK20" s="66"/>
      <c r="BL20" s="66"/>
      <c r="BM20" s="66"/>
      <c r="BN20" s="66"/>
    </row>
    <row r="21" spans="1:66" s="49" customFormat="1" x14ac:dyDescent="0.3">
      <c r="A21" s="59" t="s">
        <v>263</v>
      </c>
      <c r="B21" s="59" t="s">
        <v>245</v>
      </c>
      <c r="C21" s="59" t="s">
        <v>213</v>
      </c>
      <c r="D21" s="69" t="s">
        <v>244</v>
      </c>
      <c r="E21" s="62" t="s">
        <v>240</v>
      </c>
      <c r="F21" s="111" t="s">
        <v>242</v>
      </c>
      <c r="G21" s="112"/>
      <c r="H21" s="64" t="s">
        <v>240</v>
      </c>
      <c r="I21" s="90">
        <f t="shared" si="5"/>
        <v>10</v>
      </c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 t="s">
        <v>219</v>
      </c>
      <c r="U21" s="65" t="s">
        <v>219</v>
      </c>
      <c r="V21" s="65"/>
      <c r="W21" s="65" t="s">
        <v>219</v>
      </c>
      <c r="X21" s="65" t="s">
        <v>219</v>
      </c>
      <c r="Y21" s="65"/>
      <c r="Z21" s="65"/>
      <c r="AA21" s="65" t="s">
        <v>219</v>
      </c>
      <c r="AB21" s="65"/>
      <c r="AC21" s="65"/>
      <c r="AD21" s="65"/>
      <c r="AE21" s="65"/>
      <c r="AF21" s="66" t="s">
        <v>219</v>
      </c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 t="s">
        <v>219</v>
      </c>
      <c r="AW21" s="66"/>
      <c r="AX21" s="66"/>
      <c r="AY21" s="66"/>
      <c r="AZ21" s="66"/>
      <c r="BA21" s="66"/>
      <c r="BB21" s="66"/>
      <c r="BC21" s="66"/>
      <c r="BD21" s="66"/>
      <c r="BE21" s="66"/>
      <c r="BF21" s="66" t="s">
        <v>219</v>
      </c>
      <c r="BG21" s="66" t="s">
        <v>219</v>
      </c>
      <c r="BH21" s="66"/>
      <c r="BI21" s="66"/>
      <c r="BJ21" s="66"/>
      <c r="BK21" s="66"/>
      <c r="BL21" s="66"/>
      <c r="BM21" s="66"/>
      <c r="BN21" s="66" t="s">
        <v>219</v>
      </c>
    </row>
    <row r="22" spans="1:66" s="49" customFormat="1" x14ac:dyDescent="0.3">
      <c r="A22" s="59" t="s">
        <v>281</v>
      </c>
      <c r="B22" s="59" t="s">
        <v>245</v>
      </c>
      <c r="C22" s="59" t="s">
        <v>213</v>
      </c>
      <c r="D22" s="69" t="s">
        <v>244</v>
      </c>
      <c r="E22" s="62" t="s">
        <v>240</v>
      </c>
      <c r="F22" s="111" t="s">
        <v>242</v>
      </c>
      <c r="G22" s="112"/>
      <c r="H22" s="64" t="s">
        <v>240</v>
      </c>
      <c r="I22" s="90">
        <f t="shared" ref="I22" si="7">COUNTA(J22:BN22)</f>
        <v>9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 t="s">
        <v>219</v>
      </c>
      <c r="V22" s="65"/>
      <c r="W22" s="65" t="s">
        <v>219</v>
      </c>
      <c r="X22" s="65" t="s">
        <v>219</v>
      </c>
      <c r="Y22" s="65"/>
      <c r="Z22" s="65"/>
      <c r="AA22" s="65" t="s">
        <v>219</v>
      </c>
      <c r="AB22" s="65"/>
      <c r="AC22" s="65"/>
      <c r="AD22" s="65"/>
      <c r="AE22" s="65"/>
      <c r="AF22" s="66" t="s">
        <v>219</v>
      </c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 t="s">
        <v>219</v>
      </c>
      <c r="AW22" s="66"/>
      <c r="AX22" s="66"/>
      <c r="AY22" s="66"/>
      <c r="AZ22" s="66"/>
      <c r="BA22" s="66"/>
      <c r="BB22" s="66"/>
      <c r="BC22" s="66"/>
      <c r="BD22" s="66"/>
      <c r="BE22" s="66"/>
      <c r="BF22" s="66" t="s">
        <v>219</v>
      </c>
      <c r="BG22" s="66" t="s">
        <v>219</v>
      </c>
      <c r="BH22" s="66"/>
      <c r="BI22" s="66"/>
      <c r="BJ22" s="66"/>
      <c r="BK22" s="66"/>
      <c r="BL22" s="66"/>
      <c r="BM22" s="66"/>
      <c r="BN22" s="66" t="s">
        <v>219</v>
      </c>
    </row>
    <row r="23" spans="1:66" s="49" customFormat="1" x14ac:dyDescent="0.3">
      <c r="A23" s="59" t="s">
        <v>275</v>
      </c>
      <c r="B23" s="59" t="s">
        <v>6</v>
      </c>
      <c r="C23" s="59" t="s">
        <v>221</v>
      </c>
      <c r="D23" s="69" t="s">
        <v>244</v>
      </c>
      <c r="E23" s="62" t="s">
        <v>240</v>
      </c>
      <c r="F23" s="111" t="s">
        <v>242</v>
      </c>
      <c r="G23" s="112"/>
      <c r="H23" s="64" t="s">
        <v>240</v>
      </c>
      <c r="I23" s="90">
        <f t="shared" ref="I23" si="8">COUNTA(J23:BN23)</f>
        <v>7</v>
      </c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 t="s">
        <v>219</v>
      </c>
      <c r="X23" s="65" t="s">
        <v>219</v>
      </c>
      <c r="Y23" s="65"/>
      <c r="Z23" s="65"/>
      <c r="AA23" s="65" t="s">
        <v>219</v>
      </c>
      <c r="AB23" s="65"/>
      <c r="AC23" s="65"/>
      <c r="AD23" s="65"/>
      <c r="AE23" s="65" t="s">
        <v>219</v>
      </c>
      <c r="AF23" s="66" t="s">
        <v>219</v>
      </c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 t="s">
        <v>219</v>
      </c>
      <c r="AW23" s="66"/>
      <c r="AX23" s="66"/>
      <c r="AY23" s="66"/>
      <c r="AZ23" s="66"/>
      <c r="BA23" s="66"/>
      <c r="BB23" s="66"/>
      <c r="BC23" s="66"/>
      <c r="BD23" s="66"/>
      <c r="BE23" s="66"/>
      <c r="BF23" s="66" t="s">
        <v>219</v>
      </c>
      <c r="BG23" s="66"/>
      <c r="BH23" s="66"/>
      <c r="BI23" s="66"/>
      <c r="BJ23" s="66"/>
      <c r="BK23" s="66"/>
      <c r="BL23" s="66"/>
      <c r="BM23" s="66"/>
      <c r="BN23" s="66"/>
    </row>
    <row r="24" spans="1:66" s="49" customFormat="1" x14ac:dyDescent="0.3">
      <c r="A24" s="70" t="s">
        <v>153</v>
      </c>
      <c r="B24" s="70" t="s">
        <v>215</v>
      </c>
      <c r="C24" s="70" t="s">
        <v>222</v>
      </c>
      <c r="D24" s="69" t="s">
        <v>244</v>
      </c>
      <c r="E24" s="62" t="s">
        <v>240</v>
      </c>
      <c r="F24" s="111" t="s">
        <v>242</v>
      </c>
      <c r="G24" s="112"/>
      <c r="H24" s="64" t="s">
        <v>240</v>
      </c>
      <c r="I24" s="90">
        <f t="shared" si="5"/>
        <v>10</v>
      </c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65" t="s">
        <v>219</v>
      </c>
      <c r="X24" s="65" t="s">
        <v>219</v>
      </c>
      <c r="Y24" s="71"/>
      <c r="Z24" s="71"/>
      <c r="AA24" s="65" t="s">
        <v>219</v>
      </c>
      <c r="AB24" s="71"/>
      <c r="AC24" s="71"/>
      <c r="AD24" s="71"/>
      <c r="AE24" s="71"/>
      <c r="AF24" s="66" t="s">
        <v>219</v>
      </c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66" t="s">
        <v>219</v>
      </c>
      <c r="AW24" s="72"/>
      <c r="AX24" s="72"/>
      <c r="AY24" s="66" t="s">
        <v>219</v>
      </c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66" t="s">
        <v>219</v>
      </c>
      <c r="BK24" s="66" t="s">
        <v>219</v>
      </c>
      <c r="BL24" s="66" t="s">
        <v>219</v>
      </c>
      <c r="BM24" s="72"/>
      <c r="BN24" s="66" t="s">
        <v>219</v>
      </c>
    </row>
    <row r="25" spans="1:66" s="49" customFormat="1" x14ac:dyDescent="0.3">
      <c r="A25" s="59" t="s">
        <v>250</v>
      </c>
      <c r="B25" s="59" t="s">
        <v>44</v>
      </c>
      <c r="C25" s="60" t="s">
        <v>262</v>
      </c>
      <c r="D25" s="69" t="s">
        <v>244</v>
      </c>
      <c r="E25" s="62" t="s">
        <v>240</v>
      </c>
      <c r="F25" s="111" t="s">
        <v>242</v>
      </c>
      <c r="G25" s="112"/>
      <c r="H25" s="64" t="s">
        <v>240</v>
      </c>
      <c r="I25" s="90">
        <f>COUNTA(J25:BN25)</f>
        <v>8</v>
      </c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 t="s">
        <v>219</v>
      </c>
      <c r="X25" s="65" t="s">
        <v>219</v>
      </c>
      <c r="Y25" s="65"/>
      <c r="Z25" s="65"/>
      <c r="AA25" s="65"/>
      <c r="AB25" s="65"/>
      <c r="AC25" s="65"/>
      <c r="AD25" s="65"/>
      <c r="AE25" s="65"/>
      <c r="AF25" s="66" t="s">
        <v>219</v>
      </c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 t="s">
        <v>219</v>
      </c>
      <c r="AT25" s="66"/>
      <c r="AU25" s="66"/>
      <c r="AV25" s="66" t="s">
        <v>219</v>
      </c>
      <c r="AW25" s="66"/>
      <c r="AX25" s="66"/>
      <c r="AY25" s="66"/>
      <c r="AZ25" s="66"/>
      <c r="BA25" s="66"/>
      <c r="BB25" s="66"/>
      <c r="BC25" s="66" t="s">
        <v>219</v>
      </c>
      <c r="BD25" s="66" t="s">
        <v>219</v>
      </c>
      <c r="BE25" s="66"/>
      <c r="BF25" s="66"/>
      <c r="BG25" s="66"/>
      <c r="BH25" s="66"/>
      <c r="BI25" s="66"/>
      <c r="BJ25" s="66"/>
      <c r="BK25" s="66"/>
      <c r="BL25" s="66"/>
      <c r="BM25" s="66" t="s">
        <v>219</v>
      </c>
      <c r="BN25" s="66"/>
    </row>
    <row r="26" spans="1:66" s="49" customFormat="1" x14ac:dyDescent="0.3">
      <c r="A26" s="59" t="s">
        <v>267</v>
      </c>
      <c r="B26" s="59" t="s">
        <v>6</v>
      </c>
      <c r="C26" s="59" t="s">
        <v>268</v>
      </c>
      <c r="D26" s="69" t="s">
        <v>244</v>
      </c>
      <c r="E26" s="62" t="s">
        <v>240</v>
      </c>
      <c r="F26" s="111" t="s">
        <v>242</v>
      </c>
      <c r="G26" s="112"/>
      <c r="H26" s="64" t="s">
        <v>240</v>
      </c>
      <c r="I26" s="90">
        <f>COUNTA(J26:BN26)</f>
        <v>6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 t="s">
        <v>219</v>
      </c>
      <c r="X26" s="65" t="s">
        <v>219</v>
      </c>
      <c r="Y26" s="65"/>
      <c r="Z26" s="65"/>
      <c r="AA26" s="65"/>
      <c r="AB26" s="65"/>
      <c r="AC26" s="65"/>
      <c r="AD26" s="65"/>
      <c r="AE26" s="65" t="s">
        <v>219</v>
      </c>
      <c r="AF26" s="66" t="s">
        <v>219</v>
      </c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 t="s">
        <v>219</v>
      </c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 t="s">
        <v>219</v>
      </c>
    </row>
    <row r="27" spans="1:66" s="49" customFormat="1" x14ac:dyDescent="0.3">
      <c r="A27" s="59" t="s">
        <v>204</v>
      </c>
      <c r="B27" s="59" t="s">
        <v>252</v>
      </c>
      <c r="C27" s="59" t="s">
        <v>224</v>
      </c>
      <c r="D27" s="69" t="s">
        <v>244</v>
      </c>
      <c r="E27" s="62" t="s">
        <v>240</v>
      </c>
      <c r="F27" s="111" t="s">
        <v>242</v>
      </c>
      <c r="G27" s="112"/>
      <c r="H27" s="64" t="s">
        <v>240</v>
      </c>
      <c r="I27" s="90">
        <f t="shared" si="5"/>
        <v>9</v>
      </c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 t="s">
        <v>219</v>
      </c>
      <c r="U27" s="65" t="s">
        <v>219</v>
      </c>
      <c r="V27" s="65" t="s">
        <v>219</v>
      </c>
      <c r="W27" s="65" t="s">
        <v>219</v>
      </c>
      <c r="X27" s="65" t="s">
        <v>219</v>
      </c>
      <c r="Y27" s="65"/>
      <c r="Z27" s="65"/>
      <c r="AA27" s="65" t="s">
        <v>219</v>
      </c>
      <c r="AB27" s="65"/>
      <c r="AC27" s="65"/>
      <c r="AD27" s="65"/>
      <c r="AE27" s="65"/>
      <c r="AF27" s="66" t="s">
        <v>219</v>
      </c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 t="s">
        <v>219</v>
      </c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 t="s">
        <v>219</v>
      </c>
      <c r="BN27" s="66"/>
    </row>
    <row r="28" spans="1:66" s="49" customFormat="1" x14ac:dyDescent="0.3">
      <c r="A28" s="59" t="s">
        <v>205</v>
      </c>
      <c r="B28" s="59" t="s">
        <v>253</v>
      </c>
      <c r="C28" s="59" t="s">
        <v>81</v>
      </c>
      <c r="D28" s="69" t="s">
        <v>244</v>
      </c>
      <c r="E28" s="62" t="s">
        <v>240</v>
      </c>
      <c r="F28" s="111" t="s">
        <v>242</v>
      </c>
      <c r="G28" s="112"/>
      <c r="H28" s="64" t="s">
        <v>240</v>
      </c>
      <c r="I28" s="90">
        <f t="shared" si="5"/>
        <v>7</v>
      </c>
      <c r="J28" s="65"/>
      <c r="K28" s="65"/>
      <c r="L28" s="65"/>
      <c r="M28" s="65"/>
      <c r="N28" s="65"/>
      <c r="O28" s="65"/>
      <c r="P28" s="65"/>
      <c r="Q28" s="65"/>
      <c r="R28" s="65"/>
      <c r="S28" s="65" t="s">
        <v>219</v>
      </c>
      <c r="T28" s="65"/>
      <c r="U28" s="65"/>
      <c r="V28" s="65"/>
      <c r="W28" s="65" t="s">
        <v>219</v>
      </c>
      <c r="X28" s="65" t="s">
        <v>219</v>
      </c>
      <c r="Y28" s="65"/>
      <c r="Z28" s="65"/>
      <c r="AA28" s="65" t="s">
        <v>219</v>
      </c>
      <c r="AB28" s="65"/>
      <c r="AC28" s="65"/>
      <c r="AD28" s="65"/>
      <c r="AE28" s="65"/>
      <c r="AF28" s="66" t="s">
        <v>219</v>
      </c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 t="s">
        <v>219</v>
      </c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 t="s">
        <v>219</v>
      </c>
      <c r="BN28" s="66"/>
    </row>
    <row r="29" spans="1:66" s="49" customFormat="1" x14ac:dyDescent="0.3">
      <c r="A29" s="59" t="s">
        <v>209</v>
      </c>
      <c r="B29" s="59" t="s">
        <v>277</v>
      </c>
      <c r="C29" s="59" t="s">
        <v>266</v>
      </c>
      <c r="D29" s="69" t="s">
        <v>244</v>
      </c>
      <c r="E29" s="62" t="s">
        <v>240</v>
      </c>
      <c r="F29" s="111" t="s">
        <v>242</v>
      </c>
      <c r="G29" s="112"/>
      <c r="H29" s="64" t="s">
        <v>240</v>
      </c>
      <c r="I29" s="90">
        <f t="shared" si="5"/>
        <v>9</v>
      </c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 t="s">
        <v>219</v>
      </c>
      <c r="X29" s="65" t="s">
        <v>219</v>
      </c>
      <c r="Y29" s="65"/>
      <c r="Z29" s="65"/>
      <c r="AA29" s="65" t="s">
        <v>219</v>
      </c>
      <c r="AB29" s="65"/>
      <c r="AC29" s="65"/>
      <c r="AD29" s="65"/>
      <c r="AE29" s="65"/>
      <c r="AF29" s="66" t="s">
        <v>219</v>
      </c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 t="s">
        <v>219</v>
      </c>
      <c r="AW29" s="66"/>
      <c r="AX29" s="66"/>
      <c r="AY29" s="66"/>
      <c r="AZ29" s="66"/>
      <c r="BA29" s="66"/>
      <c r="BB29" s="66"/>
      <c r="BC29" s="66"/>
      <c r="BD29" s="66" t="s">
        <v>219</v>
      </c>
      <c r="BE29" s="66" t="s">
        <v>219</v>
      </c>
      <c r="BF29" s="66" t="s">
        <v>219</v>
      </c>
      <c r="BG29" s="66" t="s">
        <v>219</v>
      </c>
      <c r="BH29" s="66"/>
      <c r="BI29" s="66"/>
      <c r="BJ29" s="66"/>
      <c r="BK29" s="66"/>
      <c r="BL29" s="66"/>
      <c r="BM29" s="66"/>
      <c r="BN29" s="66"/>
    </row>
    <row r="30" spans="1:66" s="49" customFormat="1" x14ac:dyDescent="0.3">
      <c r="A30" s="59" t="s">
        <v>17</v>
      </c>
      <c r="B30" s="59" t="s">
        <v>277</v>
      </c>
      <c r="C30" s="59" t="s">
        <v>225</v>
      </c>
      <c r="D30" s="69" t="s">
        <v>244</v>
      </c>
      <c r="E30" s="62" t="s">
        <v>240</v>
      </c>
      <c r="F30" s="111" t="s">
        <v>242</v>
      </c>
      <c r="G30" s="112"/>
      <c r="H30" s="64" t="s">
        <v>240</v>
      </c>
      <c r="I30" s="90">
        <f t="shared" si="5"/>
        <v>6</v>
      </c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 t="s">
        <v>219</v>
      </c>
      <c r="X30" s="65" t="s">
        <v>219</v>
      </c>
      <c r="Y30" s="65"/>
      <c r="Z30" s="65"/>
      <c r="AA30" s="65" t="s">
        <v>219</v>
      </c>
      <c r="AB30" s="65"/>
      <c r="AC30" s="65"/>
      <c r="AD30" s="65"/>
      <c r="AE30" s="65"/>
      <c r="AF30" s="66" t="s">
        <v>219</v>
      </c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 t="s">
        <v>219</v>
      </c>
      <c r="AW30" s="66"/>
      <c r="AX30" s="66"/>
      <c r="AY30" s="66"/>
      <c r="AZ30" s="66"/>
      <c r="BA30" s="66"/>
      <c r="BB30" s="66"/>
      <c r="BC30" s="66"/>
      <c r="BD30" s="66" t="s">
        <v>219</v>
      </c>
      <c r="BE30" s="66"/>
      <c r="BF30" s="66"/>
      <c r="BG30" s="66"/>
      <c r="BH30" s="66"/>
      <c r="BI30" s="66"/>
      <c r="BJ30" s="66"/>
      <c r="BK30" s="66"/>
      <c r="BL30" s="66"/>
      <c r="BM30" s="66"/>
      <c r="BN30" s="66"/>
    </row>
    <row r="31" spans="1:66" s="49" customFormat="1" x14ac:dyDescent="0.3">
      <c r="A31" s="59" t="s">
        <v>9</v>
      </c>
      <c r="B31" s="59" t="s">
        <v>277</v>
      </c>
      <c r="C31" s="59" t="s">
        <v>225</v>
      </c>
      <c r="D31" s="69" t="s">
        <v>244</v>
      </c>
      <c r="E31" s="62" t="s">
        <v>240</v>
      </c>
      <c r="F31" s="111" t="s">
        <v>242</v>
      </c>
      <c r="G31" s="112"/>
      <c r="H31" s="64" t="s">
        <v>240</v>
      </c>
      <c r="I31" s="90">
        <f t="shared" si="5"/>
        <v>8</v>
      </c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 t="s">
        <v>219</v>
      </c>
      <c r="V31" s="65" t="s">
        <v>219</v>
      </c>
      <c r="W31" s="65" t="s">
        <v>219</v>
      </c>
      <c r="X31" s="65" t="s">
        <v>219</v>
      </c>
      <c r="Y31" s="65"/>
      <c r="Z31" s="65"/>
      <c r="AA31" s="65" t="s">
        <v>219</v>
      </c>
      <c r="AB31" s="65"/>
      <c r="AC31" s="65"/>
      <c r="AD31" s="65"/>
      <c r="AE31" s="65"/>
      <c r="AF31" s="66" t="s">
        <v>219</v>
      </c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 t="s">
        <v>219</v>
      </c>
      <c r="AW31" s="66"/>
      <c r="AX31" s="66"/>
      <c r="AY31" s="66"/>
      <c r="AZ31" s="66"/>
      <c r="BA31" s="66"/>
      <c r="BB31" s="66"/>
      <c r="BC31" s="66"/>
      <c r="BD31" s="66" t="s">
        <v>219</v>
      </c>
      <c r="BE31" s="66"/>
      <c r="BF31" s="66"/>
      <c r="BG31" s="66"/>
      <c r="BH31" s="66"/>
      <c r="BI31" s="66"/>
      <c r="BJ31" s="66"/>
      <c r="BK31" s="66"/>
      <c r="BL31" s="66"/>
      <c r="BM31" s="66"/>
      <c r="BN31" s="66"/>
    </row>
    <row r="32" spans="1:66" s="49" customFormat="1" x14ac:dyDescent="0.3">
      <c r="A32" s="59" t="s">
        <v>255</v>
      </c>
      <c r="B32" s="59" t="s">
        <v>277</v>
      </c>
      <c r="C32" s="59" t="s">
        <v>225</v>
      </c>
      <c r="D32" s="69" t="s">
        <v>244</v>
      </c>
      <c r="E32" s="62" t="s">
        <v>240</v>
      </c>
      <c r="F32" s="111" t="s">
        <v>242</v>
      </c>
      <c r="G32" s="112"/>
      <c r="H32" s="64" t="s">
        <v>240</v>
      </c>
      <c r="I32" s="90">
        <f t="shared" si="5"/>
        <v>4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 t="s">
        <v>219</v>
      </c>
      <c r="X32" s="65" t="s">
        <v>219</v>
      </c>
      <c r="Y32" s="65"/>
      <c r="Z32" s="65"/>
      <c r="AA32" s="65"/>
      <c r="AB32" s="65"/>
      <c r="AC32" s="65"/>
      <c r="AD32" s="65"/>
      <c r="AE32" s="65"/>
      <c r="AF32" s="66" t="s">
        <v>219</v>
      </c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 t="s">
        <v>219</v>
      </c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</row>
    <row r="33" spans="1:66" s="49" customFormat="1" x14ac:dyDescent="0.3">
      <c r="A33" s="59" t="s">
        <v>239</v>
      </c>
      <c r="B33" s="59" t="s">
        <v>277</v>
      </c>
      <c r="C33" s="59" t="s">
        <v>225</v>
      </c>
      <c r="D33" s="69" t="s">
        <v>244</v>
      </c>
      <c r="E33" s="62" t="s">
        <v>240</v>
      </c>
      <c r="F33" s="111" t="s">
        <v>242</v>
      </c>
      <c r="G33" s="112"/>
      <c r="H33" s="64" t="s">
        <v>240</v>
      </c>
      <c r="I33" s="90">
        <f t="shared" si="5"/>
        <v>5</v>
      </c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 t="s">
        <v>219</v>
      </c>
      <c r="X33" s="65" t="s">
        <v>219</v>
      </c>
      <c r="Y33" s="65"/>
      <c r="Z33" s="65"/>
      <c r="AA33" s="65" t="s">
        <v>219</v>
      </c>
      <c r="AB33" s="65"/>
      <c r="AC33" s="65"/>
      <c r="AD33" s="65"/>
      <c r="AE33" s="65"/>
      <c r="AF33" s="66" t="s">
        <v>219</v>
      </c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 t="s">
        <v>219</v>
      </c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</row>
    <row r="34" spans="1:66" s="49" customFormat="1" x14ac:dyDescent="0.3">
      <c r="A34" s="59" t="s">
        <v>279</v>
      </c>
      <c r="B34" s="59" t="s">
        <v>277</v>
      </c>
      <c r="C34" s="59" t="s">
        <v>216</v>
      </c>
      <c r="D34" s="69" t="s">
        <v>244</v>
      </c>
      <c r="E34" s="62" t="s">
        <v>240</v>
      </c>
      <c r="F34" s="111" t="s">
        <v>242</v>
      </c>
      <c r="G34" s="112"/>
      <c r="H34" s="64" t="s">
        <v>240</v>
      </c>
      <c r="I34" s="90">
        <f t="shared" si="5"/>
        <v>8</v>
      </c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 t="s">
        <v>219</v>
      </c>
      <c r="W34" s="65" t="s">
        <v>219</v>
      </c>
      <c r="X34" s="65" t="s">
        <v>219</v>
      </c>
      <c r="Y34" s="65"/>
      <c r="Z34" s="65"/>
      <c r="AA34" s="65" t="s">
        <v>219</v>
      </c>
      <c r="AB34" s="65"/>
      <c r="AC34" s="65"/>
      <c r="AD34" s="65"/>
      <c r="AE34" s="65" t="s">
        <v>219</v>
      </c>
      <c r="AF34" s="66" t="s">
        <v>219</v>
      </c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 t="s">
        <v>219</v>
      </c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 t="s">
        <v>219</v>
      </c>
      <c r="BK34" s="66"/>
      <c r="BL34" s="66"/>
      <c r="BM34" s="66"/>
      <c r="BN34" s="66"/>
    </row>
    <row r="35" spans="1:66" s="49" customFormat="1" x14ac:dyDescent="0.3">
      <c r="A35" s="59" t="s">
        <v>276</v>
      </c>
      <c r="B35" s="59" t="s">
        <v>277</v>
      </c>
      <c r="C35" s="59" t="s">
        <v>221</v>
      </c>
      <c r="D35" s="69" t="s">
        <v>244</v>
      </c>
      <c r="E35" s="62" t="s">
        <v>240</v>
      </c>
      <c r="F35" s="111" t="s">
        <v>242</v>
      </c>
      <c r="G35" s="112"/>
      <c r="H35" s="64" t="s">
        <v>240</v>
      </c>
      <c r="I35" s="90">
        <f t="shared" si="5"/>
        <v>6</v>
      </c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 t="s">
        <v>219</v>
      </c>
      <c r="X35" s="65" t="s">
        <v>219</v>
      </c>
      <c r="Y35" s="65"/>
      <c r="Z35" s="65"/>
      <c r="AA35" s="65" t="s">
        <v>219</v>
      </c>
      <c r="AB35" s="65"/>
      <c r="AC35" s="65"/>
      <c r="AD35" s="65"/>
      <c r="AE35" s="65" t="s">
        <v>219</v>
      </c>
      <c r="AF35" s="66" t="s">
        <v>219</v>
      </c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 t="s">
        <v>219</v>
      </c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</row>
    <row r="36" spans="1:66" s="49" customFormat="1" x14ac:dyDescent="0.3">
      <c r="A36" s="59" t="s">
        <v>264</v>
      </c>
      <c r="B36" s="59" t="s">
        <v>248</v>
      </c>
      <c r="C36" s="59" t="s">
        <v>213</v>
      </c>
      <c r="D36" s="69" t="s">
        <v>244</v>
      </c>
      <c r="E36" s="62" t="s">
        <v>240</v>
      </c>
      <c r="F36" s="111" t="s">
        <v>242</v>
      </c>
      <c r="G36" s="112"/>
      <c r="H36" s="64" t="s">
        <v>240</v>
      </c>
      <c r="I36" s="90">
        <f t="shared" ref="I36" si="9">COUNTA(J36:BN36)</f>
        <v>5</v>
      </c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 t="s">
        <v>219</v>
      </c>
      <c r="X36" s="65" t="s">
        <v>219</v>
      </c>
      <c r="Y36" s="65"/>
      <c r="Z36" s="65"/>
      <c r="AA36" s="65" t="s">
        <v>219</v>
      </c>
      <c r="AB36" s="65"/>
      <c r="AC36" s="65"/>
      <c r="AD36" s="65"/>
      <c r="AE36" s="65"/>
      <c r="AF36" s="66" t="s">
        <v>219</v>
      </c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 t="s">
        <v>219</v>
      </c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</row>
    <row r="37" spans="1:66" s="49" customFormat="1" x14ac:dyDescent="0.3">
      <c r="A37" s="59" t="s">
        <v>210</v>
      </c>
      <c r="B37" s="59" t="s">
        <v>253</v>
      </c>
      <c r="C37" s="59" t="s">
        <v>233</v>
      </c>
      <c r="D37" s="73" t="s">
        <v>241</v>
      </c>
      <c r="E37" s="62" t="s">
        <v>240</v>
      </c>
      <c r="F37" s="111" t="s">
        <v>242</v>
      </c>
      <c r="G37" s="112"/>
      <c r="H37" s="64" t="s">
        <v>240</v>
      </c>
      <c r="I37" s="90">
        <f t="shared" si="5"/>
        <v>11</v>
      </c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 t="s">
        <v>219</v>
      </c>
      <c r="W37" s="65" t="s">
        <v>219</v>
      </c>
      <c r="X37" s="65" t="s">
        <v>219</v>
      </c>
      <c r="Y37" s="65" t="s">
        <v>219</v>
      </c>
      <c r="Z37" s="65" t="s">
        <v>219</v>
      </c>
      <c r="AA37" s="65" t="s">
        <v>219</v>
      </c>
      <c r="AB37" s="65"/>
      <c r="AC37" s="65"/>
      <c r="AD37" s="65"/>
      <c r="AE37" s="65"/>
      <c r="AF37" s="66" t="s">
        <v>219</v>
      </c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 t="s">
        <v>219</v>
      </c>
      <c r="AW37" s="66"/>
      <c r="AX37" s="66"/>
      <c r="AY37" s="66"/>
      <c r="AZ37" s="66"/>
      <c r="BA37" s="66"/>
      <c r="BB37" s="66"/>
      <c r="BC37" s="66"/>
      <c r="BD37" s="66" t="s">
        <v>219</v>
      </c>
      <c r="BE37" s="66"/>
      <c r="BF37" s="66"/>
      <c r="BG37" s="66"/>
      <c r="BH37" s="66"/>
      <c r="BI37" s="66" t="s">
        <v>219</v>
      </c>
      <c r="BJ37" s="66"/>
      <c r="BK37" s="66"/>
      <c r="BL37" s="66"/>
      <c r="BM37" s="66" t="s">
        <v>219</v>
      </c>
      <c r="BN37" s="66"/>
    </row>
    <row r="38" spans="1:66" s="49" customFormat="1" x14ac:dyDescent="0.3">
      <c r="A38" s="59" t="s">
        <v>197</v>
      </c>
      <c r="B38" s="59"/>
      <c r="C38" s="59"/>
      <c r="D38" s="74"/>
      <c r="E38" s="62" t="s">
        <v>240</v>
      </c>
      <c r="F38" s="111" t="s">
        <v>242</v>
      </c>
      <c r="G38" s="112"/>
      <c r="H38" s="64" t="s">
        <v>240</v>
      </c>
      <c r="I38" s="90">
        <f t="shared" si="5"/>
        <v>5</v>
      </c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 t="s">
        <v>219</v>
      </c>
      <c r="X38" s="65" t="s">
        <v>219</v>
      </c>
      <c r="Y38" s="65"/>
      <c r="Z38" s="65"/>
      <c r="AA38" s="65" t="s">
        <v>219</v>
      </c>
      <c r="AB38" s="65"/>
      <c r="AC38" s="65"/>
      <c r="AD38" s="65"/>
      <c r="AE38" s="65"/>
      <c r="AF38" s="66" t="s">
        <v>219</v>
      </c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 t="s">
        <v>219</v>
      </c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</row>
    <row r="39" spans="1:66" x14ac:dyDescent="0.3">
      <c r="I39" s="91"/>
    </row>
    <row r="40" spans="1:66" x14ac:dyDescent="0.3"/>
    <row r="41" spans="1:66" x14ac:dyDescent="0.3"/>
    <row r="42" spans="1:66" x14ac:dyDescent="0.3"/>
    <row r="43" spans="1:66" x14ac:dyDescent="0.3"/>
    <row r="44" spans="1:66" x14ac:dyDescent="0.3"/>
    <row r="45" spans="1:66" x14ac:dyDescent="0.3"/>
    <row r="46" spans="1:66" x14ac:dyDescent="0.3"/>
  </sheetData>
  <autoFilter ref="A6:BO6" xr:uid="{2ED43B34-CA0D-46A0-BF20-C62EE060F495}"/>
  <mergeCells count="33">
    <mergeCell ref="E2:H2"/>
    <mergeCell ref="J1:AE1"/>
    <mergeCell ref="AF1:BN1"/>
    <mergeCell ref="A4:D5"/>
    <mergeCell ref="F16:G16"/>
    <mergeCell ref="F15:G15"/>
    <mergeCell ref="F13:G13"/>
    <mergeCell ref="E1:H1"/>
    <mergeCell ref="A1:D2"/>
    <mergeCell ref="F14:G14"/>
    <mergeCell ref="F12:G12"/>
    <mergeCell ref="F20:G20"/>
    <mergeCell ref="F21:G21"/>
    <mergeCell ref="F24:G24"/>
    <mergeCell ref="F17:G17"/>
    <mergeCell ref="F18:G18"/>
    <mergeCell ref="F19:G19"/>
    <mergeCell ref="F27:G27"/>
    <mergeCell ref="F28:G28"/>
    <mergeCell ref="F30:G30"/>
    <mergeCell ref="F22:G22"/>
    <mergeCell ref="F38:G38"/>
    <mergeCell ref="F35:G35"/>
    <mergeCell ref="F32:G32"/>
    <mergeCell ref="F36:G36"/>
    <mergeCell ref="F23:G23"/>
    <mergeCell ref="F26:G26"/>
    <mergeCell ref="F33:G33"/>
    <mergeCell ref="F34:G34"/>
    <mergeCell ref="F31:G31"/>
    <mergeCell ref="F29:G29"/>
    <mergeCell ref="F37:G37"/>
    <mergeCell ref="F25:G25"/>
  </mergeCells>
  <conditionalFormatting sqref="I4">
    <cfRule type="expression" dxfId="6" priority="1">
      <formula>#REF!</formula>
    </cfRule>
  </conditionalFormatting>
  <conditionalFormatting sqref="I4:BN4">
    <cfRule type="cellIs" dxfId="5" priority="4" operator="equal">
      <formula>TRUE</formula>
    </cfRule>
    <cfRule type="cellIs" dxfId="4" priority="5" operator="equal">
      <formula>FALSE</formula>
    </cfRule>
  </conditionalFormatting>
  <conditionalFormatting sqref="J2:BN6">
    <cfRule type="expression" dxfId="3" priority="7">
      <formula>#REF!</formula>
    </cfRule>
  </conditionalFormatting>
  <conditionalFormatting sqref="J6:BN6 I7:I38">
    <cfRule type="cellIs" dxfId="2" priority="3" operator="equal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7FBD-D3E1-45ED-8950-98646242242D}">
  <dimension ref="A1:M12"/>
  <sheetViews>
    <sheetView workbookViewId="0">
      <selection activeCell="F10" sqref="F10"/>
    </sheetView>
  </sheetViews>
  <sheetFormatPr defaultColWidth="0" defaultRowHeight="14.4" zeroHeight="1" x14ac:dyDescent="0.3"/>
  <cols>
    <col min="1" max="1" width="6.5546875" customWidth="1"/>
    <col min="2" max="2" width="7.44140625" customWidth="1"/>
    <col min="3" max="3" width="7" style="17" customWidth="1"/>
    <col min="4" max="4" width="10.5546875" style="17" bestFit="1" customWidth="1"/>
    <col min="5" max="5" width="10.44140625" bestFit="1" customWidth="1"/>
    <col min="6" max="6" width="42.77734375" bestFit="1" customWidth="1"/>
    <col min="7" max="7" width="59.5546875" style="20" bestFit="1" customWidth="1"/>
    <col min="8" max="8" width="23.88671875" customWidth="1"/>
    <col min="9" max="9" width="25.21875" bestFit="1" customWidth="1"/>
    <col min="10" max="10" width="31" bestFit="1" customWidth="1"/>
    <col min="11" max="11" width="19.88671875" bestFit="1" customWidth="1"/>
    <col min="12" max="12" width="13.44140625" customWidth="1"/>
    <col min="13" max="13" width="8.44140625" hidden="1" customWidth="1"/>
    <col min="14" max="16384" width="61.109375" hidden="1"/>
  </cols>
  <sheetData>
    <row r="1" spans="1:13" x14ac:dyDescent="0.3">
      <c r="A1" t="s">
        <v>23</v>
      </c>
      <c r="B1" t="s">
        <v>24</v>
      </c>
      <c r="C1" s="17" t="s">
        <v>25</v>
      </c>
      <c r="D1" s="17" t="s">
        <v>47</v>
      </c>
      <c r="E1" t="s">
        <v>26</v>
      </c>
      <c r="F1" t="s">
        <v>27</v>
      </c>
      <c r="G1" s="20" t="s">
        <v>51</v>
      </c>
      <c r="H1" t="s">
        <v>43</v>
      </c>
      <c r="I1" t="s">
        <v>28</v>
      </c>
      <c r="J1" t="s">
        <v>196</v>
      </c>
      <c r="K1" t="s">
        <v>30</v>
      </c>
      <c r="L1" t="s">
        <v>195</v>
      </c>
      <c r="M1" s="16"/>
    </row>
    <row r="2" spans="1:13" x14ac:dyDescent="0.3">
      <c r="A2" s="21">
        <v>1</v>
      </c>
      <c r="B2" s="22">
        <v>0.35416666666666669</v>
      </c>
      <c r="C2" s="22">
        <v>0.375</v>
      </c>
      <c r="D2" s="22"/>
      <c r="E2" s="21" t="s">
        <v>187</v>
      </c>
      <c r="F2" s="21" t="s">
        <v>32</v>
      </c>
      <c r="G2" s="23"/>
      <c r="H2" s="21" t="s">
        <v>33</v>
      </c>
      <c r="I2" s="21"/>
      <c r="J2" s="21"/>
      <c r="K2" s="21" t="s">
        <v>192</v>
      </c>
      <c r="L2" s="21"/>
    </row>
    <row r="3" spans="1:13" x14ac:dyDescent="0.3">
      <c r="A3" s="21">
        <v>1</v>
      </c>
      <c r="B3" s="22">
        <f>C2</f>
        <v>0.375</v>
      </c>
      <c r="C3" s="22">
        <v>0.38541666666666669</v>
      </c>
      <c r="D3" s="22">
        <f t="shared" ref="D3:D10" si="0">C3-B3</f>
        <v>1.0416666666666685E-2</v>
      </c>
      <c r="E3" s="21" t="s">
        <v>187</v>
      </c>
      <c r="F3" s="21" t="s">
        <v>34</v>
      </c>
      <c r="G3" s="23"/>
      <c r="H3" s="21" t="s">
        <v>33</v>
      </c>
      <c r="I3" s="21" t="s">
        <v>35</v>
      </c>
      <c r="J3" s="21" t="s">
        <v>35</v>
      </c>
      <c r="K3" s="21" t="s">
        <v>192</v>
      </c>
      <c r="L3" s="21"/>
    </row>
    <row r="4" spans="1:13" x14ac:dyDescent="0.3">
      <c r="A4" s="21">
        <v>1</v>
      </c>
      <c r="B4" s="22">
        <f>C3</f>
        <v>0.38541666666666669</v>
      </c>
      <c r="C4" s="22">
        <v>0.40625</v>
      </c>
      <c r="D4" s="22">
        <f t="shared" ref="D4" si="1">C4-B4</f>
        <v>2.0833333333333315E-2</v>
      </c>
      <c r="E4" s="21" t="s">
        <v>187</v>
      </c>
      <c r="F4" s="21" t="s">
        <v>52</v>
      </c>
      <c r="G4" s="23" t="s">
        <v>53</v>
      </c>
      <c r="H4" s="21" t="s">
        <v>33</v>
      </c>
      <c r="I4" s="21" t="s">
        <v>20</v>
      </c>
      <c r="J4" s="21" t="s">
        <v>48</v>
      </c>
      <c r="K4" s="21" t="s">
        <v>192</v>
      </c>
      <c r="L4" s="21"/>
    </row>
    <row r="5" spans="1:13" ht="28.8" x14ac:dyDescent="0.3">
      <c r="A5" s="21">
        <v>1</v>
      </c>
      <c r="B5" s="22">
        <f>C4</f>
        <v>0.40625</v>
      </c>
      <c r="C5" s="22">
        <v>0.5</v>
      </c>
      <c r="D5" s="22">
        <f t="shared" si="0"/>
        <v>9.375E-2</v>
      </c>
      <c r="E5" s="21" t="s">
        <v>187</v>
      </c>
      <c r="F5" s="21" t="s">
        <v>54</v>
      </c>
      <c r="G5" s="23" t="s">
        <v>55</v>
      </c>
      <c r="H5" s="21" t="s">
        <v>33</v>
      </c>
      <c r="I5" s="21" t="s">
        <v>5</v>
      </c>
      <c r="J5" s="21" t="s">
        <v>48</v>
      </c>
      <c r="K5" s="21" t="s">
        <v>192</v>
      </c>
      <c r="L5" s="21"/>
    </row>
    <row r="6" spans="1:13" x14ac:dyDescent="0.3">
      <c r="A6" s="21">
        <v>1</v>
      </c>
      <c r="B6" s="22">
        <f t="shared" ref="B6:B11" si="2">C5</f>
        <v>0.5</v>
      </c>
      <c r="C6" s="22">
        <v>0.54166666666666663</v>
      </c>
      <c r="D6" s="22">
        <f t="shared" si="0"/>
        <v>4.166666666666663E-2</v>
      </c>
      <c r="E6" s="21" t="s">
        <v>187</v>
      </c>
      <c r="F6" s="21" t="s">
        <v>8</v>
      </c>
      <c r="G6" s="23" t="s">
        <v>39</v>
      </c>
      <c r="H6" s="21" t="s">
        <v>33</v>
      </c>
      <c r="I6" s="21" t="s">
        <v>8</v>
      </c>
      <c r="J6" s="21" t="s">
        <v>48</v>
      </c>
      <c r="K6" s="21" t="s">
        <v>192</v>
      </c>
      <c r="L6" s="21"/>
    </row>
    <row r="7" spans="1:13" s="18" customFormat="1" x14ac:dyDescent="0.3">
      <c r="A7" s="24">
        <v>1</v>
      </c>
      <c r="B7" s="25">
        <f t="shared" si="2"/>
        <v>0.54166666666666663</v>
      </c>
      <c r="C7" s="25">
        <v>0.5625</v>
      </c>
      <c r="D7" s="25"/>
      <c r="E7" s="24" t="s">
        <v>187</v>
      </c>
      <c r="F7" s="24" t="s">
        <v>50</v>
      </c>
      <c r="G7" s="26"/>
      <c r="H7" s="24" t="s">
        <v>33</v>
      </c>
      <c r="I7" s="24"/>
      <c r="J7" s="24" t="s">
        <v>48</v>
      </c>
      <c r="K7" s="24" t="s">
        <v>192</v>
      </c>
      <c r="L7" s="24"/>
    </row>
    <row r="8" spans="1:13" x14ac:dyDescent="0.3">
      <c r="A8" s="21">
        <v>1</v>
      </c>
      <c r="B8" s="22">
        <f t="shared" si="2"/>
        <v>0.5625</v>
      </c>
      <c r="C8" s="22">
        <v>0.60416666666666663</v>
      </c>
      <c r="D8" s="22">
        <f t="shared" si="0"/>
        <v>4.166666666666663E-2</v>
      </c>
      <c r="E8" s="21" t="s">
        <v>187</v>
      </c>
      <c r="F8" s="21" t="s">
        <v>57</v>
      </c>
      <c r="G8" s="23" t="s">
        <v>36</v>
      </c>
      <c r="H8" s="21" t="s">
        <v>33</v>
      </c>
      <c r="I8" s="21" t="s">
        <v>7</v>
      </c>
      <c r="J8" s="21" t="s">
        <v>48</v>
      </c>
      <c r="K8" s="21" t="s">
        <v>192</v>
      </c>
      <c r="L8" s="21"/>
    </row>
    <row r="9" spans="1:13" ht="43.2" x14ac:dyDescent="0.3">
      <c r="A9" s="21">
        <v>1</v>
      </c>
      <c r="B9" s="22">
        <f t="shared" si="2"/>
        <v>0.60416666666666663</v>
      </c>
      <c r="C9" s="22">
        <v>0.70833333333333337</v>
      </c>
      <c r="D9" s="22">
        <f t="shared" si="0"/>
        <v>0.10416666666666674</v>
      </c>
      <c r="E9" s="21" t="s">
        <v>187</v>
      </c>
      <c r="F9" s="21" t="s">
        <v>56</v>
      </c>
      <c r="G9" s="23" t="s">
        <v>40</v>
      </c>
      <c r="H9" s="21" t="s">
        <v>33</v>
      </c>
      <c r="I9" s="21" t="s">
        <v>38</v>
      </c>
      <c r="J9" s="21" t="s">
        <v>48</v>
      </c>
      <c r="K9" s="21" t="s">
        <v>192</v>
      </c>
      <c r="L9" s="21"/>
    </row>
    <row r="10" spans="1:13" x14ac:dyDescent="0.3">
      <c r="A10" s="21">
        <v>1</v>
      </c>
      <c r="B10" s="22">
        <f t="shared" si="2"/>
        <v>0.70833333333333337</v>
      </c>
      <c r="C10" s="22">
        <v>0.72916666666666663</v>
      </c>
      <c r="D10" s="22">
        <f t="shared" si="0"/>
        <v>2.0833333333333259E-2</v>
      </c>
      <c r="E10" s="21" t="s">
        <v>187</v>
      </c>
      <c r="F10" s="21" t="s">
        <v>37</v>
      </c>
      <c r="G10" s="23"/>
      <c r="H10" s="21" t="s">
        <v>33</v>
      </c>
      <c r="I10" s="21" t="s">
        <v>5</v>
      </c>
      <c r="J10" s="21" t="s">
        <v>48</v>
      </c>
      <c r="K10" s="21" t="s">
        <v>192</v>
      </c>
      <c r="L10" s="21"/>
    </row>
    <row r="11" spans="1:13" x14ac:dyDescent="0.3">
      <c r="A11" s="21">
        <v>1</v>
      </c>
      <c r="B11" s="22">
        <f t="shared" si="2"/>
        <v>0.72916666666666663</v>
      </c>
      <c r="C11" s="22">
        <v>0.72916666666666663</v>
      </c>
      <c r="D11" s="22" t="s">
        <v>58</v>
      </c>
      <c r="E11" s="21" t="s">
        <v>187</v>
      </c>
      <c r="F11" s="21" t="s">
        <v>58</v>
      </c>
      <c r="G11" s="23"/>
      <c r="H11" s="21"/>
      <c r="I11" s="21"/>
      <c r="J11" s="21"/>
      <c r="K11" s="21" t="s">
        <v>192</v>
      </c>
      <c r="L11" s="21"/>
    </row>
    <row r="12" spans="1:13" x14ac:dyDescent="0.3">
      <c r="A12" s="21"/>
      <c r="B12" s="22"/>
      <c r="C12" s="22"/>
      <c r="D12" s="22">
        <f>SUM(Table1[Duration])</f>
        <v>0.33333333333333326</v>
      </c>
      <c r="E12" s="21"/>
      <c r="F12" s="21"/>
      <c r="G12" s="23"/>
      <c r="H12" s="21"/>
      <c r="I12" s="21"/>
      <c r="J12" s="21"/>
      <c r="K12" s="21"/>
      <c r="L12" s="21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C121AF7-E2B3-4AB2-86BD-6CE4D8477495}">
          <x14:formula1>
            <xm:f>Teams!$A$1:$A$17</xm:f>
          </x14:formula1>
          <xm:sqref>I2:I11</xm:sqref>
        </x14:dataValidation>
        <x14:dataValidation type="list" allowBlank="1" showInputMessage="1" showErrorMessage="1" xr:uid="{AF59CB54-7394-430A-9A8E-D7E8BBDF34A9}">
          <x14:formula1>
            <xm:f>Lists!$B$2:$B$4</xm:f>
          </x14:formula1>
          <xm:sqref>K2:K11</xm:sqref>
        </x14:dataValidation>
        <x14:dataValidation type="list" allowBlank="1" showInputMessage="1" showErrorMessage="1" xr:uid="{8519617F-EB73-454C-85E0-7E1506A5C497}">
          <x14:formula1>
            <xm:f>Lists!$A$2:$A$3</xm:f>
          </x14:formula1>
          <xm:sqref>L2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A1ED-8992-451E-A850-5483D0B53373}">
  <dimension ref="A1:M13"/>
  <sheetViews>
    <sheetView workbookViewId="0">
      <selection activeCell="A11" sqref="A11"/>
    </sheetView>
  </sheetViews>
  <sheetFormatPr defaultColWidth="0" defaultRowHeight="14.4" customHeight="1" zeroHeight="1" x14ac:dyDescent="0.3"/>
  <cols>
    <col min="1" max="1" width="6.5546875" customWidth="1"/>
    <col min="2" max="2" width="7.44140625" customWidth="1"/>
    <col min="3" max="3" width="7" style="17" customWidth="1"/>
    <col min="4" max="4" width="10.5546875" style="17" bestFit="1" customWidth="1"/>
    <col min="5" max="5" width="10.44140625" bestFit="1" customWidth="1"/>
    <col min="6" max="6" width="42.77734375" bestFit="1" customWidth="1"/>
    <col min="7" max="7" width="59.5546875" style="20" bestFit="1" customWidth="1"/>
    <col min="8" max="8" width="23.88671875" customWidth="1"/>
    <col min="9" max="9" width="25.21875" bestFit="1" customWidth="1"/>
    <col min="10" max="10" width="19.109375" bestFit="1" customWidth="1"/>
    <col min="11" max="11" width="19.88671875" bestFit="1" customWidth="1"/>
    <col min="12" max="12" width="9.109375" customWidth="1"/>
    <col min="13" max="13" width="8.44140625" customWidth="1"/>
    <col min="14" max="16384" width="61.109375" hidden="1"/>
  </cols>
  <sheetData>
    <row r="1" spans="1:13" x14ac:dyDescent="0.3">
      <c r="A1" t="s">
        <v>23</v>
      </c>
      <c r="B1" t="s">
        <v>24</v>
      </c>
      <c r="C1" s="17" t="s">
        <v>25</v>
      </c>
      <c r="D1" s="17" t="s">
        <v>47</v>
      </c>
      <c r="E1" t="s">
        <v>26</v>
      </c>
      <c r="F1" t="s">
        <v>27</v>
      </c>
      <c r="G1" s="20" t="s">
        <v>51</v>
      </c>
      <c r="H1" t="s">
        <v>43</v>
      </c>
      <c r="I1" t="s">
        <v>28</v>
      </c>
      <c r="J1" t="s">
        <v>29</v>
      </c>
      <c r="K1" t="s">
        <v>30</v>
      </c>
      <c r="L1" t="s">
        <v>189</v>
      </c>
      <c r="M1" s="16"/>
    </row>
    <row r="2" spans="1:13" x14ac:dyDescent="0.3">
      <c r="A2" s="21">
        <v>1</v>
      </c>
      <c r="B2" s="22">
        <v>0.35416666666666669</v>
      </c>
      <c r="C2" s="22">
        <v>0.375</v>
      </c>
      <c r="D2" s="22"/>
      <c r="E2" s="21" t="s">
        <v>187</v>
      </c>
      <c r="F2" s="21" t="s">
        <v>32</v>
      </c>
      <c r="G2" s="23"/>
      <c r="H2" s="21" t="s">
        <v>33</v>
      </c>
      <c r="I2" s="21"/>
      <c r="J2" s="21"/>
      <c r="K2" s="21" t="s">
        <v>188</v>
      </c>
      <c r="L2" s="21"/>
    </row>
    <row r="3" spans="1:13" x14ac:dyDescent="0.3">
      <c r="A3" s="21">
        <v>1</v>
      </c>
      <c r="B3" s="22">
        <f>C2</f>
        <v>0.375</v>
      </c>
      <c r="C3" s="22">
        <v>0.41666666666666669</v>
      </c>
      <c r="D3" s="22">
        <f t="shared" ref="D3:D12" si="0">C3-B3</f>
        <v>4.1666666666666685E-2</v>
      </c>
      <c r="E3" s="21" t="s">
        <v>187</v>
      </c>
      <c r="F3" s="21" t="s">
        <v>59</v>
      </c>
      <c r="G3" s="23"/>
      <c r="H3" s="21" t="s">
        <v>33</v>
      </c>
      <c r="I3" s="21" t="s">
        <v>19</v>
      </c>
      <c r="J3" s="21" t="s">
        <v>48</v>
      </c>
      <c r="K3" s="21" t="s">
        <v>188</v>
      </c>
      <c r="L3" s="21"/>
    </row>
    <row r="4" spans="1:13" x14ac:dyDescent="0.3">
      <c r="A4" s="21">
        <v>1</v>
      </c>
      <c r="B4" s="22">
        <f>C3</f>
        <v>0.41666666666666669</v>
      </c>
      <c r="C4" s="22">
        <v>0.45833333333333331</v>
      </c>
      <c r="D4" s="22">
        <f t="shared" si="0"/>
        <v>4.166666666666663E-2</v>
      </c>
      <c r="E4" s="21" t="s">
        <v>187</v>
      </c>
      <c r="F4" s="21" t="s">
        <v>60</v>
      </c>
      <c r="G4" s="23" t="s">
        <v>53</v>
      </c>
      <c r="H4" s="21" t="s">
        <v>33</v>
      </c>
      <c r="I4" s="21" t="s">
        <v>17</v>
      </c>
      <c r="J4" s="21"/>
      <c r="K4" s="21" t="s">
        <v>188</v>
      </c>
      <c r="L4" s="21"/>
    </row>
    <row r="5" spans="1:13" ht="28.8" x14ac:dyDescent="0.3">
      <c r="A5" s="21">
        <v>1</v>
      </c>
      <c r="B5" s="22">
        <f t="shared" ref="B5:B12" si="1">C4</f>
        <v>0.45833333333333331</v>
      </c>
      <c r="C5" s="22">
        <v>0.5</v>
      </c>
      <c r="D5" s="22">
        <f t="shared" si="0"/>
        <v>4.1666666666666685E-2</v>
      </c>
      <c r="E5" s="21" t="s">
        <v>187</v>
      </c>
      <c r="F5" s="21" t="s">
        <v>9</v>
      </c>
      <c r="G5" s="23" t="s">
        <v>55</v>
      </c>
      <c r="H5" s="21" t="s">
        <v>33</v>
      </c>
      <c r="I5" s="21" t="s">
        <v>9</v>
      </c>
      <c r="J5" s="21" t="s">
        <v>48</v>
      </c>
      <c r="K5" s="21" t="s">
        <v>188</v>
      </c>
      <c r="L5" s="21"/>
    </row>
    <row r="6" spans="1:13" x14ac:dyDescent="0.3">
      <c r="A6" s="21">
        <v>1</v>
      </c>
      <c r="B6" s="22">
        <f t="shared" si="1"/>
        <v>0.5</v>
      </c>
      <c r="C6" s="22">
        <v>0.54166666666666663</v>
      </c>
      <c r="D6" s="22">
        <f t="shared" si="0"/>
        <v>4.166666666666663E-2</v>
      </c>
      <c r="E6" s="21" t="s">
        <v>187</v>
      </c>
      <c r="F6" s="21" t="s">
        <v>10</v>
      </c>
      <c r="G6" s="23" t="s">
        <v>39</v>
      </c>
      <c r="H6" s="21" t="s">
        <v>33</v>
      </c>
      <c r="I6" s="21" t="s">
        <v>10</v>
      </c>
      <c r="J6" s="21" t="s">
        <v>48</v>
      </c>
      <c r="K6" s="21" t="s">
        <v>188</v>
      </c>
      <c r="L6" s="21"/>
    </row>
    <row r="7" spans="1:13" s="18" customFormat="1" x14ac:dyDescent="0.3">
      <c r="A7" s="24">
        <v>1</v>
      </c>
      <c r="B7" s="25">
        <f t="shared" si="1"/>
        <v>0.54166666666666663</v>
      </c>
      <c r="C7" s="25">
        <v>0.5625</v>
      </c>
      <c r="D7" s="25"/>
      <c r="E7" s="24" t="s">
        <v>187</v>
      </c>
      <c r="F7" s="24" t="s">
        <v>50</v>
      </c>
      <c r="G7" s="26"/>
      <c r="H7" s="24" t="s">
        <v>33</v>
      </c>
      <c r="I7" s="24"/>
      <c r="J7" s="24" t="s">
        <v>48</v>
      </c>
      <c r="K7" s="24" t="s">
        <v>188</v>
      </c>
      <c r="L7" s="24"/>
    </row>
    <row r="8" spans="1:13" x14ac:dyDescent="0.3">
      <c r="A8" s="21">
        <v>1</v>
      </c>
      <c r="B8" s="22">
        <f t="shared" si="1"/>
        <v>0.5625</v>
      </c>
      <c r="C8" s="22">
        <v>0.60416666666666663</v>
      </c>
      <c r="D8" s="22">
        <f t="shared" si="0"/>
        <v>4.166666666666663E-2</v>
      </c>
      <c r="E8" s="21" t="s">
        <v>187</v>
      </c>
      <c r="F8" s="21" t="s">
        <v>11</v>
      </c>
      <c r="G8" s="23" t="s">
        <v>61</v>
      </c>
      <c r="H8" s="21" t="s">
        <v>33</v>
      </c>
      <c r="I8" s="21" t="s">
        <v>11</v>
      </c>
      <c r="J8" s="21" t="s">
        <v>48</v>
      </c>
      <c r="K8" s="21" t="s">
        <v>188</v>
      </c>
      <c r="L8" s="21"/>
    </row>
    <row r="9" spans="1:13" x14ac:dyDescent="0.3">
      <c r="A9" s="21">
        <v>1</v>
      </c>
      <c r="B9" s="22">
        <f t="shared" si="1"/>
        <v>0.60416666666666663</v>
      </c>
      <c r="C9" s="22">
        <v>0.625</v>
      </c>
      <c r="D9" s="22">
        <f t="shared" si="0"/>
        <v>2.083333333333337E-2</v>
      </c>
      <c r="E9" s="21" t="s">
        <v>187</v>
      </c>
      <c r="F9" s="21" t="s">
        <v>12</v>
      </c>
      <c r="G9" s="23"/>
      <c r="H9" s="21" t="s">
        <v>33</v>
      </c>
      <c r="I9" s="21" t="s">
        <v>12</v>
      </c>
      <c r="J9" s="21" t="s">
        <v>48</v>
      </c>
      <c r="K9" s="21" t="s">
        <v>188</v>
      </c>
      <c r="L9" s="21"/>
    </row>
    <row r="10" spans="1:13" x14ac:dyDescent="0.3">
      <c r="A10" s="21"/>
      <c r="B10" s="22">
        <f>C9</f>
        <v>0.625</v>
      </c>
      <c r="C10" s="22">
        <v>0.64583333333333337</v>
      </c>
      <c r="D10" s="22">
        <f>C10-B10</f>
        <v>2.083333333333337E-2</v>
      </c>
      <c r="E10" s="21" t="s">
        <v>187</v>
      </c>
      <c r="F10" s="21" t="s">
        <v>13</v>
      </c>
      <c r="G10" s="23"/>
      <c r="H10" s="21"/>
      <c r="I10" s="21" t="s">
        <v>13</v>
      </c>
      <c r="J10" s="21"/>
      <c r="K10" s="21" t="s">
        <v>188</v>
      </c>
      <c r="L10" s="21"/>
    </row>
    <row r="11" spans="1:13" x14ac:dyDescent="0.3">
      <c r="A11" s="21">
        <v>1</v>
      </c>
      <c r="B11" s="22">
        <f>C10</f>
        <v>0.64583333333333337</v>
      </c>
      <c r="C11" s="22">
        <v>0.6875</v>
      </c>
      <c r="D11" s="22">
        <f t="shared" si="0"/>
        <v>4.166666666666663E-2</v>
      </c>
      <c r="E11" s="21" t="s">
        <v>187</v>
      </c>
      <c r="F11" s="21" t="s">
        <v>41</v>
      </c>
      <c r="G11" s="23"/>
      <c r="H11" s="21" t="s">
        <v>33</v>
      </c>
      <c r="I11" s="21" t="s">
        <v>49</v>
      </c>
      <c r="J11" s="21" t="s">
        <v>48</v>
      </c>
      <c r="K11" s="21" t="s">
        <v>188</v>
      </c>
      <c r="L11" s="21"/>
    </row>
    <row r="12" spans="1:13" x14ac:dyDescent="0.3">
      <c r="A12" s="21">
        <v>1</v>
      </c>
      <c r="B12" s="22">
        <f t="shared" si="1"/>
        <v>0.6875</v>
      </c>
      <c r="C12" s="22">
        <v>0.72916666666666663</v>
      </c>
      <c r="D12" s="22">
        <f t="shared" si="0"/>
        <v>4.166666666666663E-2</v>
      </c>
      <c r="E12" s="21" t="s">
        <v>187</v>
      </c>
      <c r="F12" s="21" t="s">
        <v>42</v>
      </c>
      <c r="G12" s="23"/>
      <c r="H12" s="21"/>
      <c r="I12" s="21" t="s">
        <v>35</v>
      </c>
      <c r="J12" s="21"/>
      <c r="K12" s="21" t="s">
        <v>188</v>
      </c>
      <c r="L12" s="21"/>
    </row>
    <row r="13" spans="1:13" x14ac:dyDescent="0.3">
      <c r="A13" s="21"/>
      <c r="B13" s="22"/>
      <c r="C13" s="22"/>
      <c r="D13" s="22">
        <f>SUM(Table14[Duration])</f>
        <v>0.33333333333333326</v>
      </c>
      <c r="E13" s="21"/>
      <c r="F13" s="21"/>
      <c r="G13" s="23"/>
      <c r="H13" s="21"/>
      <c r="I13" s="21"/>
      <c r="J13" s="21"/>
      <c r="K13" s="21"/>
      <c r="L13" s="21"/>
    </row>
  </sheetData>
  <dataValidations count="1">
    <dataValidation type="custom" allowBlank="1" showInputMessage="1" showErrorMessage="1" sqref="L2" xr:uid="{FD4BFF7E-1EAE-495D-B6E7-EC1383D74778}">
      <formula1>"YES;NO"</formula1>
    </dataValidation>
  </dataValidations>
  <pageMargins left="0.7" right="0.7" top="0.75" bottom="0.75" header="0.3" footer="0.3"/>
  <pageSetup paperSize="9" orientation="portrait" horizontalDpi="4294967293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F29046-2524-4A9C-B6B8-B3C310036FC7}">
          <x14:formula1>
            <xm:f>Teams!$A$1:$A$17</xm:f>
          </x14:formula1>
          <xm:sqref>I2:I12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4A2BB-EBD6-48DC-AA41-6E72D361040E}">
  <dimension ref="A1:BJ17"/>
  <sheetViews>
    <sheetView topLeftCell="A2" zoomScaleNormal="100" workbookViewId="0">
      <selection activeCell="D3" sqref="D3:D16"/>
    </sheetView>
  </sheetViews>
  <sheetFormatPr defaultColWidth="0" defaultRowHeight="14.4" zeroHeight="1" x14ac:dyDescent="0.3"/>
  <cols>
    <col min="1" max="1" width="25.6640625" bestFit="1" customWidth="1"/>
    <col min="2" max="2" width="5.44140625" bestFit="1" customWidth="1"/>
    <col min="3" max="5" width="4.44140625" bestFit="1" customWidth="1"/>
    <col min="6" max="62" width="0" hidden="1" customWidth="1"/>
    <col min="63" max="16384" width="8.88671875" hidden="1"/>
  </cols>
  <sheetData>
    <row r="1" spans="1:5" hidden="1" x14ac:dyDescent="0.3">
      <c r="B1" s="3">
        <v>1</v>
      </c>
      <c r="C1" s="3">
        <v>0.33</v>
      </c>
      <c r="D1" s="3">
        <v>0.33</v>
      </c>
      <c r="E1" s="3">
        <v>0.66</v>
      </c>
    </row>
    <row r="2" spans="1:5" ht="110.4" x14ac:dyDescent="0.3">
      <c r="A2" s="2" t="s">
        <v>4</v>
      </c>
      <c r="B2" s="6" t="s">
        <v>0</v>
      </c>
      <c r="C2" s="6" t="s">
        <v>1</v>
      </c>
      <c r="D2" s="6" t="s">
        <v>2</v>
      </c>
      <c r="E2" s="6" t="s">
        <v>3</v>
      </c>
    </row>
    <row r="3" spans="1:5" x14ac:dyDescent="0.3">
      <c r="A3" s="4" t="s">
        <v>5</v>
      </c>
      <c r="B3" s="5" t="s">
        <v>16</v>
      </c>
      <c r="C3" s="5" t="s">
        <v>16</v>
      </c>
      <c r="D3" s="5" t="s">
        <v>16</v>
      </c>
      <c r="E3" s="5" t="s">
        <v>16</v>
      </c>
    </row>
    <row r="4" spans="1:5" x14ac:dyDescent="0.3">
      <c r="A4" s="4" t="s">
        <v>20</v>
      </c>
      <c r="B4" s="5" t="s">
        <v>16</v>
      </c>
      <c r="C4" s="5" t="s">
        <v>16</v>
      </c>
      <c r="D4" s="5" t="s">
        <v>16</v>
      </c>
      <c r="E4" s="5" t="s">
        <v>16</v>
      </c>
    </row>
    <row r="5" spans="1:5" x14ac:dyDescent="0.3">
      <c r="A5" s="4" t="s">
        <v>19</v>
      </c>
      <c r="B5" s="5" t="s">
        <v>16</v>
      </c>
      <c r="C5" s="5" t="s">
        <v>16</v>
      </c>
      <c r="D5" s="5" t="s">
        <v>16</v>
      </c>
      <c r="E5" s="5" t="s">
        <v>16</v>
      </c>
    </row>
    <row r="6" spans="1:5" x14ac:dyDescent="0.3">
      <c r="A6" s="4" t="s">
        <v>6</v>
      </c>
      <c r="B6" s="5" t="s">
        <v>16</v>
      </c>
      <c r="C6" s="5" t="s">
        <v>16</v>
      </c>
      <c r="D6" s="5"/>
      <c r="E6" s="5" t="s">
        <v>16</v>
      </c>
    </row>
    <row r="7" spans="1:5" x14ac:dyDescent="0.3">
      <c r="A7" s="4" t="s">
        <v>7</v>
      </c>
      <c r="B7" s="5" t="s">
        <v>16</v>
      </c>
      <c r="C7" s="5"/>
      <c r="D7" s="5" t="s">
        <v>16</v>
      </c>
      <c r="E7" s="5" t="s">
        <v>16</v>
      </c>
    </row>
    <row r="8" spans="1:5" x14ac:dyDescent="0.3">
      <c r="A8" s="4" t="s">
        <v>8</v>
      </c>
      <c r="B8" s="5" t="s">
        <v>16</v>
      </c>
      <c r="C8" s="5"/>
      <c r="D8" s="5" t="s">
        <v>16</v>
      </c>
      <c r="E8" s="5" t="s">
        <v>16</v>
      </c>
    </row>
    <row r="9" spans="1:5" x14ac:dyDescent="0.3">
      <c r="A9" s="4" t="s">
        <v>17</v>
      </c>
      <c r="B9" s="5" t="s">
        <v>16</v>
      </c>
      <c r="C9" s="5" t="s">
        <v>16</v>
      </c>
      <c r="D9" s="5"/>
      <c r="E9" s="5" t="s">
        <v>16</v>
      </c>
    </row>
    <row r="10" spans="1:5" x14ac:dyDescent="0.3">
      <c r="A10" s="4" t="s">
        <v>18</v>
      </c>
      <c r="B10" s="5" t="s">
        <v>16</v>
      </c>
      <c r="C10" s="5"/>
      <c r="D10" s="5" t="s">
        <v>16</v>
      </c>
      <c r="E10" s="5" t="s">
        <v>16</v>
      </c>
    </row>
    <row r="11" spans="1:5" x14ac:dyDescent="0.3">
      <c r="A11" s="4" t="s">
        <v>9</v>
      </c>
      <c r="B11" s="5" t="s">
        <v>16</v>
      </c>
      <c r="C11" s="5"/>
      <c r="D11" s="5" t="s">
        <v>16</v>
      </c>
      <c r="E11" s="5" t="s">
        <v>16</v>
      </c>
    </row>
    <row r="12" spans="1:5" x14ac:dyDescent="0.3">
      <c r="A12" s="4" t="s">
        <v>198</v>
      </c>
      <c r="B12" s="5" t="s">
        <v>16</v>
      </c>
      <c r="C12" s="5" t="s">
        <v>16</v>
      </c>
      <c r="D12" s="5"/>
      <c r="E12" s="5" t="s">
        <v>16</v>
      </c>
    </row>
    <row r="13" spans="1:5" x14ac:dyDescent="0.3">
      <c r="A13" s="4" t="s">
        <v>10</v>
      </c>
      <c r="B13" s="5" t="s">
        <v>16</v>
      </c>
      <c r="C13" s="5" t="s">
        <v>16</v>
      </c>
      <c r="D13" s="5"/>
      <c r="E13" s="5" t="s">
        <v>16</v>
      </c>
    </row>
    <row r="14" spans="1:5" x14ac:dyDescent="0.3">
      <c r="A14" s="4" t="s">
        <v>11</v>
      </c>
      <c r="B14" s="5" t="s">
        <v>16</v>
      </c>
      <c r="C14" s="5" t="s">
        <v>16</v>
      </c>
      <c r="D14" s="5"/>
      <c r="E14" s="5" t="s">
        <v>16</v>
      </c>
    </row>
    <row r="15" spans="1:5" x14ac:dyDescent="0.3">
      <c r="A15" s="4" t="s">
        <v>12</v>
      </c>
      <c r="B15" s="5" t="s">
        <v>16</v>
      </c>
      <c r="C15" s="5"/>
      <c r="D15" s="5" t="s">
        <v>16</v>
      </c>
      <c r="E15" s="5" t="s">
        <v>16</v>
      </c>
    </row>
    <row r="16" spans="1:5" x14ac:dyDescent="0.3">
      <c r="A16" s="4" t="s">
        <v>13</v>
      </c>
      <c r="B16" s="5" t="s">
        <v>16</v>
      </c>
      <c r="C16" s="5"/>
      <c r="D16" s="5" t="s">
        <v>16</v>
      </c>
      <c r="E16" s="5" t="s">
        <v>16</v>
      </c>
    </row>
    <row r="17" spans="2:5" x14ac:dyDescent="0.3">
      <c r="B17" s="1">
        <f>COUNTA(B4:B16)</f>
        <v>13</v>
      </c>
      <c r="C17" s="1">
        <f>COUNTA(C4:C16)</f>
        <v>7</v>
      </c>
      <c r="D17" s="1">
        <f>COUNTA(D4:D16)</f>
        <v>8</v>
      </c>
      <c r="E17" s="1">
        <f>COUNTA(E4:E16)</f>
        <v>13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9090-B8FE-4281-8191-3803121F7F18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41" t="s">
        <v>31</v>
      </c>
      <c r="B1" t="s">
        <v>49</v>
      </c>
    </row>
    <row r="2" spans="1:2" x14ac:dyDescent="0.3">
      <c r="A2" t="s">
        <v>190</v>
      </c>
      <c r="B2" t="s">
        <v>192</v>
      </c>
    </row>
    <row r="3" spans="1:2" x14ac:dyDescent="0.3">
      <c r="A3" t="s">
        <v>191</v>
      </c>
      <c r="B3" t="s">
        <v>193</v>
      </c>
    </row>
    <row r="4" spans="1:2" x14ac:dyDescent="0.3">
      <c r="B4" t="s">
        <v>194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Teams</vt:lpstr>
      <vt:lpstr>Control to team mapping</vt:lpstr>
      <vt:lpstr>Advanced Team control mapping</vt:lpstr>
      <vt:lpstr>Interne Audit yyyymmdd (DAY1)</vt:lpstr>
      <vt:lpstr>Interne Audit yyyymmdd (DAY2)</vt:lpstr>
      <vt:lpstr>Audit Cycle plan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Geelen</dc:creator>
  <cp:lastModifiedBy>Peter Geelen</cp:lastModifiedBy>
  <dcterms:created xsi:type="dcterms:W3CDTF">2021-07-07T11:51:31Z</dcterms:created>
  <dcterms:modified xsi:type="dcterms:W3CDTF">2023-07-19T19:52:32Z</dcterms:modified>
</cp:coreProperties>
</file>